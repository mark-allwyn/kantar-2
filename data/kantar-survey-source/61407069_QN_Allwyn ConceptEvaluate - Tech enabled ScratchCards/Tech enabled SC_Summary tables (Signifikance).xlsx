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glbuc-my.sharepoint.com/personal/peter_javornicky_kantar_com/Documents/Desktop/Pracovne/# 1 Clients/Allwyn/2025/# Data pro AI/61407069_QN_Allwyn ConceptEvaluate - Tech enabled ScratchCards/"/>
    </mc:Choice>
  </mc:AlternateContent>
  <xr:revisionPtr revIDLastSave="2" documentId="13_ncr:1_{4B269272-9DD7-460D-AE29-F86A9DDC0D71}" xr6:coauthVersionLast="47" xr6:coauthVersionMax="47" xr10:uidLastSave="{76F9E2E9-26F9-4D3B-ADAC-4248A00CD4BA}"/>
  <bookViews>
    <workbookView xWindow="-120" yWindow="-120" windowWidth="29040" windowHeight="15720" xr2:uid="{436324EE-B030-4BBC-9F03-569FCEC57F95}"/>
  </bookViews>
  <sheets>
    <sheet name="KPIs" sheetId="3" r:id="rId1"/>
  </sheets>
  <definedNames>
    <definedName name="_xlnm._FilterDatabase" localSheetId="0" hidden="1">KPIs!$A$2:$AQ$2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3" l="1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D49" i="3"/>
  <c r="D50" i="3"/>
  <c r="D51" i="3"/>
  <c r="D52" i="3"/>
  <c r="D53" i="3"/>
  <c r="D54" i="3"/>
  <c r="D55" i="3"/>
  <c r="E63" i="3" l="1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D64" i="3"/>
  <c r="D65" i="3"/>
  <c r="D66" i="3"/>
  <c r="D67" i="3"/>
  <c r="D68" i="3"/>
  <c r="D69" i="3"/>
  <c r="D70" i="3"/>
  <c r="D63" i="3"/>
  <c r="C49" i="3"/>
  <c r="C50" i="3"/>
  <c r="C51" i="3"/>
  <c r="C52" i="3"/>
  <c r="C53" i="3"/>
  <c r="C54" i="3"/>
  <c r="C55" i="3"/>
  <c r="C48" i="3"/>
  <c r="D48" i="3"/>
  <c r="C7" i="3"/>
  <c r="C4" i="3"/>
  <c r="C3" i="3"/>
  <c r="C5" i="3"/>
  <c r="C6" i="3"/>
  <c r="C10" i="3"/>
  <c r="C8" i="3"/>
  <c r="C9" i="3"/>
  <c r="C38" i="3"/>
  <c r="C37" i="3"/>
  <c r="C39" i="3"/>
  <c r="C35" i="3"/>
  <c r="C34" i="3"/>
  <c r="C32" i="3"/>
  <c r="C33" i="3"/>
  <c r="C36" i="3"/>
  <c r="C25" i="3"/>
  <c r="C24" i="3"/>
  <c r="C26" i="3"/>
  <c r="C22" i="3"/>
  <c r="C21" i="3"/>
  <c r="C19" i="3"/>
  <c r="C20" i="3"/>
  <c r="C23" i="3"/>
</calcChain>
</file>

<file path=xl/sharedStrings.xml><?xml version="1.0" encoding="utf-8"?>
<sst xmlns="http://schemas.openxmlformats.org/spreadsheetml/2006/main" count="291" uniqueCount="41">
  <si>
    <t>Concept Name</t>
  </si>
  <si>
    <t>Trial</t>
  </si>
  <si>
    <t>Purchase Intention (% Top)</t>
  </si>
  <si>
    <t>Purchase Intention (%Top 2)</t>
  </si>
  <si>
    <t>Price Value (%Top 2)</t>
  </si>
  <si>
    <t>Appeal (%Top 2)</t>
  </si>
  <si>
    <t>Believability (%Top)</t>
  </si>
  <si>
    <t>Excitement (%Top 2)</t>
  </si>
  <si>
    <t>Relevance (%Top 2)</t>
  </si>
  <si>
    <t>Uniqueness (%Top 2)</t>
  </si>
  <si>
    <t>Understanding (%Top 3)</t>
  </si>
  <si>
    <t>Austria</t>
  </si>
  <si>
    <t>Czech Republic</t>
  </si>
  <si>
    <t>Greece</t>
  </si>
  <si>
    <t>AR Christmas Mini Game</t>
  </si>
  <si>
    <t>Birthday Message</t>
  </si>
  <si>
    <t>Elf Yourself</t>
  </si>
  <si>
    <t>Christmas AR Message</t>
  </si>
  <si>
    <t>Christmas Cake Suprise</t>
  </si>
  <si>
    <t>Christmas Duet</t>
  </si>
  <si>
    <t>Christmas Lip Sync</t>
  </si>
  <si>
    <t>Valentine Message</t>
  </si>
  <si>
    <t>USA</t>
  </si>
  <si>
    <t>Cross country Trial (Avg)</t>
  </si>
  <si>
    <t>Top 25%</t>
  </si>
  <si>
    <t>25%-50%</t>
  </si>
  <si>
    <t>Bottom 50%</t>
  </si>
  <si>
    <t>TOTAL (CATEGORY BUYERS)</t>
  </si>
  <si>
    <t>id</t>
  </si>
  <si>
    <t xml:space="preserve">18-34 y.o. </t>
  </si>
  <si>
    <t>Compared to ConceptEvaluate country norms (Total sample only)</t>
  </si>
  <si>
    <t xml:space="preserve">Have bought SC as a gift </t>
  </si>
  <si>
    <t>SIG 18-34</t>
  </si>
  <si>
    <t>Více než</t>
  </si>
  <si>
    <t>Méně než</t>
  </si>
  <si>
    <t>SIG SC GIFT</t>
  </si>
  <si>
    <t>N=100</t>
  </si>
  <si>
    <t>N=275</t>
  </si>
  <si>
    <t>N=190</t>
  </si>
  <si>
    <t>N=270</t>
  </si>
  <si>
    <t>N=265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</si>
</sst>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color theme="9"/>
      <name val="Calibri"/>
      <family val="2"/>
    </font>
    <font>
      <sz val="11"/>
      <color rgb="FFFFC000"/>
      <name val="Calibri"/>
      <family val="2"/>
    </font>
    <font>
      <b/>
      <sz val="11"/>
      <color theme="9"/>
      <name val="Calibri"/>
      <family val="2"/>
    </font>
    <font>
      <b/>
      <sz val="11"/>
      <color rgb="FFFFC000"/>
      <name val="Calibri"/>
      <family val="2"/>
    </font>
    <font>
      <sz val="11"/>
      <color rgb="FFC00000"/>
      <name val="Calibri"/>
      <family val="2"/>
    </font>
    <font>
      <b/>
      <sz val="11"/>
      <color theme="1"/>
      <name val="Calibri"/>
      <family val="2"/>
    </font>
    <font>
      <sz val="11"/>
      <name val="Aptos Narrow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9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" fillId="7" borderId="0" xfId="0" applyFont="1" applyFill="1" applyAlignment="1">
      <alignment horizontal="left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" fillId="8" borderId="0" xfId="0" applyFont="1" applyFill="1"/>
    <xf numFmtId="0" fontId="1" fillId="9" borderId="0" xfId="0" applyFont="1" applyFill="1"/>
    <xf numFmtId="0" fontId="26" fillId="0" borderId="0" xfId="0" applyFont="1"/>
    <xf numFmtId="0" fontId="3" fillId="4" borderId="6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3" fillId="4" borderId="8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/>
    </xf>
    <xf numFmtId="0" fontId="1" fillId="5" borderId="6" xfId="0" applyFont="1" applyFill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1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1" fontId="25" fillId="0" borderId="0" xfId="0" applyNumberFormat="1" applyFont="1" applyAlignment="1">
      <alignment horizontal="center"/>
    </xf>
    <xf numFmtId="0" fontId="10" fillId="0" borderId="0" xfId="0" applyFont="1" applyAlignment="1">
      <alignment horizontal="left" wrapText="1"/>
    </xf>
  </cellXfs>
  <cellStyles count="2">
    <cellStyle name="Normal" xfId="0" builtinId="0"/>
    <cellStyle name="Normal 2" xfId="1" xr:uid="{405B6E19-1FC5-401D-A9B5-6B166508856D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3E0D-7B6F-4E60-8FEB-95D8ABB112DA}">
  <dimension ref="A1:AQ70"/>
  <sheetViews>
    <sheetView tabSelected="1" topLeftCell="B60" zoomScale="90" zoomScaleNormal="90" workbookViewId="0">
      <pane xSplit="2" topLeftCell="D1" activePane="topRight" state="frozen"/>
      <selection activeCell="B1" sqref="B1"/>
      <selection pane="topRight" activeCell="W74" sqref="W74"/>
    </sheetView>
  </sheetViews>
  <sheetFormatPr defaultRowHeight="15" x14ac:dyDescent="0.25"/>
  <cols>
    <col min="1" max="1" width="3.42578125" hidden="1" customWidth="1"/>
    <col min="2" max="2" width="23.5703125" customWidth="1"/>
    <col min="3" max="3" width="11" customWidth="1"/>
    <col min="4" max="43" width="7.85546875" customWidth="1"/>
  </cols>
  <sheetData>
    <row r="1" spans="1:43" s="6" customFormat="1" x14ac:dyDescent="0.25">
      <c r="B1" s="40" t="s">
        <v>27</v>
      </c>
      <c r="C1" s="40"/>
      <c r="D1" s="17" t="s">
        <v>11</v>
      </c>
      <c r="E1" s="18"/>
      <c r="F1" s="18"/>
      <c r="G1" s="18"/>
      <c r="H1" s="18"/>
      <c r="I1" s="18"/>
      <c r="J1" s="18"/>
      <c r="K1" s="18"/>
      <c r="L1" s="18"/>
      <c r="M1" s="18"/>
      <c r="N1" s="15" t="s">
        <v>12</v>
      </c>
      <c r="O1" s="16"/>
      <c r="P1" s="16"/>
      <c r="Q1" s="16"/>
      <c r="R1" s="16"/>
      <c r="S1" s="16"/>
      <c r="T1" s="16"/>
      <c r="U1" s="16"/>
      <c r="V1" s="16"/>
      <c r="W1" s="16"/>
      <c r="X1" s="13" t="s">
        <v>13</v>
      </c>
      <c r="Y1" s="14"/>
      <c r="Z1" s="14"/>
      <c r="AA1" s="14"/>
      <c r="AB1" s="14"/>
      <c r="AC1" s="14"/>
      <c r="AD1" s="14"/>
      <c r="AE1" s="14"/>
      <c r="AF1" s="14"/>
      <c r="AG1" s="14"/>
      <c r="AH1" s="10" t="s">
        <v>22</v>
      </c>
      <c r="AI1" s="11"/>
      <c r="AJ1" s="11"/>
      <c r="AK1" s="11"/>
      <c r="AL1" s="11"/>
      <c r="AM1" s="11"/>
      <c r="AN1" s="11"/>
      <c r="AO1" s="11"/>
      <c r="AP1" s="11"/>
      <c r="AQ1" s="12"/>
    </row>
    <row r="2" spans="1:43" s="2" customFormat="1" ht="45" customHeight="1" x14ac:dyDescent="0.25">
      <c r="A2" s="1" t="s">
        <v>28</v>
      </c>
      <c r="B2" s="1" t="s">
        <v>0</v>
      </c>
      <c r="C2" s="24" t="s">
        <v>23</v>
      </c>
      <c r="D2" s="5" t="s">
        <v>1</v>
      </c>
      <c r="E2" s="22" t="s">
        <v>2</v>
      </c>
      <c r="F2" s="22" t="s">
        <v>3</v>
      </c>
      <c r="G2" s="22" t="s">
        <v>4</v>
      </c>
      <c r="H2" s="22" t="s">
        <v>5</v>
      </c>
      <c r="I2" s="22" t="s">
        <v>9</v>
      </c>
      <c r="J2" s="22" t="s">
        <v>8</v>
      </c>
      <c r="K2" s="22" t="s">
        <v>7</v>
      </c>
      <c r="L2" s="22" t="s">
        <v>6</v>
      </c>
      <c r="M2" s="25" t="s">
        <v>10</v>
      </c>
      <c r="N2" s="7" t="s">
        <v>1</v>
      </c>
      <c r="O2" s="21" t="s">
        <v>2</v>
      </c>
      <c r="P2" s="21" t="s">
        <v>3</v>
      </c>
      <c r="Q2" s="21" t="s">
        <v>4</v>
      </c>
      <c r="R2" s="21" t="s">
        <v>5</v>
      </c>
      <c r="S2" s="21" t="s">
        <v>9</v>
      </c>
      <c r="T2" s="21" t="s">
        <v>8</v>
      </c>
      <c r="U2" s="21" t="s">
        <v>7</v>
      </c>
      <c r="V2" s="21" t="s">
        <v>6</v>
      </c>
      <c r="W2" s="26" t="s">
        <v>10</v>
      </c>
      <c r="X2" s="8" t="s">
        <v>1</v>
      </c>
      <c r="Y2" s="20" t="s">
        <v>2</v>
      </c>
      <c r="Z2" s="20" t="s">
        <v>3</v>
      </c>
      <c r="AA2" s="20" t="s">
        <v>4</v>
      </c>
      <c r="AB2" s="20" t="s">
        <v>5</v>
      </c>
      <c r="AC2" s="20" t="s">
        <v>9</v>
      </c>
      <c r="AD2" s="20" t="s">
        <v>8</v>
      </c>
      <c r="AE2" s="20" t="s">
        <v>7</v>
      </c>
      <c r="AF2" s="20" t="s">
        <v>6</v>
      </c>
      <c r="AG2" s="27" t="s">
        <v>10</v>
      </c>
      <c r="AH2" s="9" t="s">
        <v>1</v>
      </c>
      <c r="AI2" s="19" t="s">
        <v>2</v>
      </c>
      <c r="AJ2" s="19" t="s">
        <v>3</v>
      </c>
      <c r="AK2" s="19" t="s">
        <v>4</v>
      </c>
      <c r="AL2" s="19" t="s">
        <v>5</v>
      </c>
      <c r="AM2" s="19" t="s">
        <v>9</v>
      </c>
      <c r="AN2" s="19" t="s">
        <v>8</v>
      </c>
      <c r="AO2" s="19" t="s">
        <v>7</v>
      </c>
      <c r="AP2" s="19" t="s">
        <v>6</v>
      </c>
      <c r="AQ2" s="19" t="s">
        <v>10</v>
      </c>
    </row>
    <row r="3" spans="1:43" s="3" customFormat="1" x14ac:dyDescent="0.25">
      <c r="A3" s="3">
        <v>3</v>
      </c>
      <c r="B3" s="4" t="s">
        <v>16</v>
      </c>
      <c r="C3" s="23">
        <f t="shared" ref="C3:C10" si="0">AVERAGE(D3,N3,X3,AH3)</f>
        <v>47.25</v>
      </c>
      <c r="D3" s="43">
        <v>39</v>
      </c>
      <c r="E3" s="41">
        <v>19</v>
      </c>
      <c r="F3" s="41">
        <v>55</v>
      </c>
      <c r="G3" s="45">
        <v>59</v>
      </c>
      <c r="H3" s="41">
        <v>43</v>
      </c>
      <c r="I3" s="41">
        <v>76</v>
      </c>
      <c r="J3" s="41">
        <v>14</v>
      </c>
      <c r="K3" s="41">
        <v>69</v>
      </c>
      <c r="L3" s="41">
        <v>28</v>
      </c>
      <c r="M3" s="41">
        <v>63</v>
      </c>
      <c r="N3" s="32">
        <v>39</v>
      </c>
      <c r="O3" s="34">
        <v>20</v>
      </c>
      <c r="P3" s="34">
        <v>52</v>
      </c>
      <c r="Q3" s="34">
        <v>61</v>
      </c>
      <c r="R3" s="36">
        <v>39</v>
      </c>
      <c r="S3" s="36">
        <v>65</v>
      </c>
      <c r="T3" s="35">
        <v>15</v>
      </c>
      <c r="U3" s="34">
        <v>68</v>
      </c>
      <c r="V3" s="36">
        <v>25</v>
      </c>
      <c r="W3" s="34">
        <v>57</v>
      </c>
      <c r="X3" s="31">
        <v>42</v>
      </c>
      <c r="Y3" s="36">
        <v>42</v>
      </c>
      <c r="Z3" s="36">
        <v>77</v>
      </c>
      <c r="AA3" s="35">
        <v>66</v>
      </c>
      <c r="AB3" s="36">
        <v>55</v>
      </c>
      <c r="AC3" s="36">
        <v>77</v>
      </c>
      <c r="AD3" s="36">
        <v>45</v>
      </c>
      <c r="AE3" s="36">
        <v>84</v>
      </c>
      <c r="AF3" s="36">
        <v>46</v>
      </c>
      <c r="AG3" s="36">
        <v>69</v>
      </c>
      <c r="AH3" s="31">
        <v>69</v>
      </c>
      <c r="AI3" s="36">
        <v>48</v>
      </c>
      <c r="AJ3" s="36">
        <v>76</v>
      </c>
      <c r="AK3" s="36">
        <v>86</v>
      </c>
      <c r="AL3" s="36">
        <v>71</v>
      </c>
      <c r="AM3" s="36">
        <v>88</v>
      </c>
      <c r="AN3" s="36">
        <v>50</v>
      </c>
      <c r="AO3" s="36">
        <v>89</v>
      </c>
      <c r="AP3" s="36">
        <v>58</v>
      </c>
      <c r="AQ3" s="36">
        <v>77</v>
      </c>
    </row>
    <row r="4" spans="1:43" s="3" customFormat="1" x14ac:dyDescent="0.25">
      <c r="A4" s="3">
        <v>2</v>
      </c>
      <c r="B4" s="4" t="s">
        <v>15</v>
      </c>
      <c r="C4" s="23">
        <f t="shared" si="0"/>
        <v>46.5</v>
      </c>
      <c r="D4" s="43">
        <v>44</v>
      </c>
      <c r="E4" s="41">
        <v>22</v>
      </c>
      <c r="F4" s="41">
        <v>61</v>
      </c>
      <c r="G4" s="45">
        <v>58</v>
      </c>
      <c r="H4" s="41">
        <v>51</v>
      </c>
      <c r="I4" s="41">
        <v>78</v>
      </c>
      <c r="J4" s="41">
        <v>23</v>
      </c>
      <c r="K4" s="41">
        <v>73</v>
      </c>
      <c r="L4" s="41">
        <v>29</v>
      </c>
      <c r="M4" s="41">
        <v>67</v>
      </c>
      <c r="N4" s="32">
        <v>34</v>
      </c>
      <c r="O4" s="34">
        <v>17</v>
      </c>
      <c r="P4" s="34">
        <v>52</v>
      </c>
      <c r="Q4" s="35">
        <v>56</v>
      </c>
      <c r="R4" s="34">
        <v>35</v>
      </c>
      <c r="S4" s="36">
        <v>65</v>
      </c>
      <c r="T4" s="35">
        <v>12</v>
      </c>
      <c r="U4" s="34">
        <v>65</v>
      </c>
      <c r="V4" s="36">
        <v>26</v>
      </c>
      <c r="W4" s="34">
        <v>59</v>
      </c>
      <c r="X4" s="31">
        <v>40</v>
      </c>
      <c r="Y4" s="36">
        <v>40</v>
      </c>
      <c r="Z4" s="36">
        <v>75</v>
      </c>
      <c r="AA4" s="35">
        <v>62</v>
      </c>
      <c r="AB4" s="36">
        <v>53</v>
      </c>
      <c r="AC4" s="36">
        <v>83</v>
      </c>
      <c r="AD4" s="36">
        <v>45</v>
      </c>
      <c r="AE4" s="36">
        <v>82</v>
      </c>
      <c r="AF4" s="36">
        <v>45</v>
      </c>
      <c r="AG4" s="36">
        <v>65</v>
      </c>
      <c r="AH4" s="31">
        <v>68</v>
      </c>
      <c r="AI4" s="36">
        <v>46</v>
      </c>
      <c r="AJ4" s="36">
        <v>78</v>
      </c>
      <c r="AK4" s="36">
        <v>89</v>
      </c>
      <c r="AL4" s="36">
        <v>71</v>
      </c>
      <c r="AM4" s="36">
        <v>93</v>
      </c>
      <c r="AN4" s="36">
        <v>51</v>
      </c>
      <c r="AO4" s="36">
        <v>89</v>
      </c>
      <c r="AP4" s="36">
        <v>59</v>
      </c>
      <c r="AQ4" s="36">
        <v>78</v>
      </c>
    </row>
    <row r="5" spans="1:43" s="3" customFormat="1" x14ac:dyDescent="0.25">
      <c r="A5" s="3">
        <v>4</v>
      </c>
      <c r="B5" s="4" t="s">
        <v>17</v>
      </c>
      <c r="C5" s="23">
        <f t="shared" si="0"/>
        <v>45.5</v>
      </c>
      <c r="D5" s="43">
        <v>38</v>
      </c>
      <c r="E5" s="41">
        <v>20</v>
      </c>
      <c r="F5" s="41">
        <v>54</v>
      </c>
      <c r="G5" s="45">
        <v>59</v>
      </c>
      <c r="H5" s="41">
        <v>47</v>
      </c>
      <c r="I5" s="41">
        <v>77</v>
      </c>
      <c r="J5" s="41">
        <v>16</v>
      </c>
      <c r="K5" s="41">
        <v>69</v>
      </c>
      <c r="L5" s="41">
        <v>28</v>
      </c>
      <c r="M5" s="41">
        <v>66</v>
      </c>
      <c r="N5" s="32">
        <v>35</v>
      </c>
      <c r="O5" s="34">
        <v>18</v>
      </c>
      <c r="P5" s="35">
        <v>44</v>
      </c>
      <c r="Q5" s="35">
        <v>57</v>
      </c>
      <c r="R5" s="34">
        <v>31</v>
      </c>
      <c r="S5" s="36">
        <v>63</v>
      </c>
      <c r="T5" s="35">
        <v>14</v>
      </c>
      <c r="U5" s="35">
        <v>60</v>
      </c>
      <c r="V5" s="34">
        <v>24</v>
      </c>
      <c r="W5" s="34">
        <v>56</v>
      </c>
      <c r="X5" s="31">
        <v>43</v>
      </c>
      <c r="Y5" s="36">
        <v>39</v>
      </c>
      <c r="Z5" s="36">
        <v>79</v>
      </c>
      <c r="AA5" s="35">
        <v>70</v>
      </c>
      <c r="AB5" s="36">
        <v>57</v>
      </c>
      <c r="AC5" s="36">
        <v>84</v>
      </c>
      <c r="AD5" s="36">
        <v>47</v>
      </c>
      <c r="AE5" s="36">
        <v>91</v>
      </c>
      <c r="AF5" s="36">
        <v>49</v>
      </c>
      <c r="AG5" s="36">
        <v>71</v>
      </c>
      <c r="AH5" s="31">
        <v>66</v>
      </c>
      <c r="AI5" s="36">
        <v>45</v>
      </c>
      <c r="AJ5" s="36">
        <v>76</v>
      </c>
      <c r="AK5" s="36">
        <v>87</v>
      </c>
      <c r="AL5" s="36">
        <v>64</v>
      </c>
      <c r="AM5" s="36">
        <v>86</v>
      </c>
      <c r="AN5" s="36">
        <v>47</v>
      </c>
      <c r="AO5" s="36">
        <v>89</v>
      </c>
      <c r="AP5" s="36">
        <v>58</v>
      </c>
      <c r="AQ5" s="34">
        <v>75</v>
      </c>
    </row>
    <row r="6" spans="1:43" s="3" customFormat="1" x14ac:dyDescent="0.25">
      <c r="A6" s="3">
        <v>5</v>
      </c>
      <c r="B6" s="4" t="s">
        <v>18</v>
      </c>
      <c r="C6" s="23">
        <f t="shared" si="0"/>
        <v>45.25</v>
      </c>
      <c r="D6" s="43">
        <v>37</v>
      </c>
      <c r="E6" s="41">
        <v>18</v>
      </c>
      <c r="F6" s="41">
        <v>51</v>
      </c>
      <c r="G6" s="45">
        <v>59</v>
      </c>
      <c r="H6" s="41">
        <v>41</v>
      </c>
      <c r="I6" s="41">
        <v>77</v>
      </c>
      <c r="J6" s="41">
        <v>14</v>
      </c>
      <c r="K6" s="41">
        <v>69</v>
      </c>
      <c r="L6" s="41">
        <v>28</v>
      </c>
      <c r="M6" s="41">
        <v>62</v>
      </c>
      <c r="N6" s="32">
        <v>33</v>
      </c>
      <c r="O6" s="34">
        <v>19</v>
      </c>
      <c r="P6" s="35">
        <v>44</v>
      </c>
      <c r="Q6" s="35">
        <v>56</v>
      </c>
      <c r="R6" s="34">
        <v>30</v>
      </c>
      <c r="S6" s="36">
        <v>68</v>
      </c>
      <c r="T6" s="35">
        <v>12</v>
      </c>
      <c r="U6" s="35">
        <v>58</v>
      </c>
      <c r="V6" s="34">
        <v>24</v>
      </c>
      <c r="W6" s="34">
        <v>55</v>
      </c>
      <c r="X6" s="31">
        <v>40</v>
      </c>
      <c r="Y6" s="36">
        <v>39</v>
      </c>
      <c r="Z6" s="36">
        <v>72</v>
      </c>
      <c r="AA6" s="35">
        <v>67</v>
      </c>
      <c r="AB6" s="36">
        <v>56</v>
      </c>
      <c r="AC6" s="36">
        <v>83</v>
      </c>
      <c r="AD6" s="36">
        <v>45</v>
      </c>
      <c r="AE6" s="36">
        <v>84</v>
      </c>
      <c r="AF6" s="36">
        <v>45</v>
      </c>
      <c r="AG6" s="36">
        <v>70</v>
      </c>
      <c r="AH6" s="31">
        <v>71</v>
      </c>
      <c r="AI6" s="36">
        <v>47</v>
      </c>
      <c r="AJ6" s="36">
        <v>81</v>
      </c>
      <c r="AK6" s="36">
        <v>89</v>
      </c>
      <c r="AL6" s="36">
        <v>70</v>
      </c>
      <c r="AM6" s="36">
        <v>89</v>
      </c>
      <c r="AN6" s="36">
        <v>50</v>
      </c>
      <c r="AO6" s="36">
        <v>91</v>
      </c>
      <c r="AP6" s="36">
        <v>59</v>
      </c>
      <c r="AQ6" s="36">
        <v>80</v>
      </c>
    </row>
    <row r="7" spans="1:43" s="3" customFormat="1" x14ac:dyDescent="0.25">
      <c r="A7" s="3">
        <v>1</v>
      </c>
      <c r="B7" s="4" t="s">
        <v>14</v>
      </c>
      <c r="C7" s="23">
        <f t="shared" si="0"/>
        <v>42.75</v>
      </c>
      <c r="D7" s="43">
        <v>33</v>
      </c>
      <c r="E7" s="41">
        <v>16</v>
      </c>
      <c r="F7" s="41">
        <v>47</v>
      </c>
      <c r="G7" s="45">
        <v>58</v>
      </c>
      <c r="H7" s="41">
        <v>39</v>
      </c>
      <c r="I7" s="41">
        <v>81</v>
      </c>
      <c r="J7" s="41">
        <v>14</v>
      </c>
      <c r="K7" s="41">
        <v>64</v>
      </c>
      <c r="L7" s="41">
        <v>23</v>
      </c>
      <c r="M7" s="42">
        <v>57</v>
      </c>
      <c r="N7" s="32">
        <v>37</v>
      </c>
      <c r="O7" s="34">
        <v>20</v>
      </c>
      <c r="P7" s="34">
        <v>49</v>
      </c>
      <c r="Q7" s="35">
        <v>57</v>
      </c>
      <c r="R7" s="36">
        <v>38</v>
      </c>
      <c r="S7" s="36">
        <v>66</v>
      </c>
      <c r="T7" s="35">
        <v>15</v>
      </c>
      <c r="U7" s="35">
        <v>63</v>
      </c>
      <c r="V7" s="36">
        <v>26</v>
      </c>
      <c r="W7" s="34">
        <v>56</v>
      </c>
      <c r="X7" s="31">
        <v>38</v>
      </c>
      <c r="Y7" s="36">
        <v>35</v>
      </c>
      <c r="Z7" s="36">
        <v>71</v>
      </c>
      <c r="AA7" s="35">
        <v>62</v>
      </c>
      <c r="AB7" s="36">
        <v>48</v>
      </c>
      <c r="AC7" s="36">
        <v>78</v>
      </c>
      <c r="AD7" s="36">
        <v>41</v>
      </c>
      <c r="AE7" s="36">
        <v>76</v>
      </c>
      <c r="AF7" s="36">
        <v>43</v>
      </c>
      <c r="AG7" s="34">
        <v>60</v>
      </c>
      <c r="AH7" s="31">
        <v>63</v>
      </c>
      <c r="AI7" s="36">
        <v>42</v>
      </c>
      <c r="AJ7" s="36">
        <v>74</v>
      </c>
      <c r="AK7" s="36">
        <v>86</v>
      </c>
      <c r="AL7" s="36">
        <v>68</v>
      </c>
      <c r="AM7" s="36">
        <v>91</v>
      </c>
      <c r="AN7" s="36">
        <v>49</v>
      </c>
      <c r="AO7" s="36">
        <v>86</v>
      </c>
      <c r="AP7" s="36">
        <v>59</v>
      </c>
      <c r="AQ7" s="34">
        <v>74</v>
      </c>
    </row>
    <row r="8" spans="1:43" s="3" customFormat="1" x14ac:dyDescent="0.25">
      <c r="A8" s="3">
        <v>7</v>
      </c>
      <c r="B8" s="4" t="s">
        <v>20</v>
      </c>
      <c r="C8" s="23">
        <f t="shared" si="0"/>
        <v>42.25</v>
      </c>
      <c r="D8" s="43">
        <v>34</v>
      </c>
      <c r="E8" s="41">
        <v>18</v>
      </c>
      <c r="F8" s="41">
        <v>48</v>
      </c>
      <c r="G8" s="45">
        <v>57</v>
      </c>
      <c r="H8" s="41">
        <v>40</v>
      </c>
      <c r="I8" s="41">
        <v>81</v>
      </c>
      <c r="J8" s="41">
        <v>13</v>
      </c>
      <c r="K8" s="41">
        <v>65</v>
      </c>
      <c r="L8" s="41">
        <v>28</v>
      </c>
      <c r="M8" s="41">
        <v>64</v>
      </c>
      <c r="N8" s="33">
        <v>31</v>
      </c>
      <c r="O8" s="34">
        <v>16</v>
      </c>
      <c r="P8" s="35">
        <v>42</v>
      </c>
      <c r="Q8" s="35">
        <v>59</v>
      </c>
      <c r="R8" s="34">
        <v>32</v>
      </c>
      <c r="S8" s="36">
        <v>66</v>
      </c>
      <c r="T8" s="35">
        <v>14</v>
      </c>
      <c r="U8" s="35">
        <v>58</v>
      </c>
      <c r="V8" s="34">
        <v>22</v>
      </c>
      <c r="W8" s="34">
        <v>57</v>
      </c>
      <c r="X8" s="31">
        <v>43</v>
      </c>
      <c r="Y8" s="36">
        <v>43</v>
      </c>
      <c r="Z8" s="36">
        <v>78</v>
      </c>
      <c r="AA8" s="35">
        <v>65</v>
      </c>
      <c r="AB8" s="36">
        <v>55</v>
      </c>
      <c r="AC8" s="36">
        <v>81</v>
      </c>
      <c r="AD8" s="36">
        <v>43</v>
      </c>
      <c r="AE8" s="36">
        <v>85</v>
      </c>
      <c r="AF8" s="36">
        <v>48</v>
      </c>
      <c r="AG8" s="36">
        <v>67</v>
      </c>
      <c r="AH8" s="31">
        <v>61</v>
      </c>
      <c r="AI8" s="36">
        <v>44</v>
      </c>
      <c r="AJ8" s="36">
        <v>70</v>
      </c>
      <c r="AK8" s="36">
        <v>85</v>
      </c>
      <c r="AL8" s="36">
        <v>60</v>
      </c>
      <c r="AM8" s="36">
        <v>88</v>
      </c>
      <c r="AN8" s="36">
        <v>45</v>
      </c>
      <c r="AO8" s="36">
        <v>85</v>
      </c>
      <c r="AP8" s="36">
        <v>59</v>
      </c>
      <c r="AQ8" s="36">
        <v>77</v>
      </c>
    </row>
    <row r="9" spans="1:43" s="3" customFormat="1" x14ac:dyDescent="0.25">
      <c r="A9" s="3">
        <v>8</v>
      </c>
      <c r="B9" s="4" t="s">
        <v>21</v>
      </c>
      <c r="C9" s="23">
        <f t="shared" si="0"/>
        <v>41.25</v>
      </c>
      <c r="D9" s="43">
        <v>36</v>
      </c>
      <c r="E9" s="41">
        <v>18</v>
      </c>
      <c r="F9" s="41">
        <v>48</v>
      </c>
      <c r="G9" s="45">
        <v>56</v>
      </c>
      <c r="H9" s="41">
        <v>41</v>
      </c>
      <c r="I9" s="41">
        <v>75</v>
      </c>
      <c r="J9" s="41">
        <v>15</v>
      </c>
      <c r="K9" s="41">
        <v>62</v>
      </c>
      <c r="L9" s="41">
        <v>24</v>
      </c>
      <c r="M9" s="41">
        <v>65</v>
      </c>
      <c r="N9" s="33">
        <v>27</v>
      </c>
      <c r="O9" s="34">
        <v>16</v>
      </c>
      <c r="P9" s="35">
        <v>39</v>
      </c>
      <c r="Q9" s="35">
        <v>52</v>
      </c>
      <c r="R9" s="34">
        <v>31</v>
      </c>
      <c r="S9" s="36">
        <v>60</v>
      </c>
      <c r="T9" s="35">
        <v>13</v>
      </c>
      <c r="U9" s="35">
        <v>54</v>
      </c>
      <c r="V9" s="34">
        <v>23</v>
      </c>
      <c r="W9" s="35">
        <v>52</v>
      </c>
      <c r="X9" s="31">
        <v>38</v>
      </c>
      <c r="Y9" s="36">
        <v>36</v>
      </c>
      <c r="Z9" s="36">
        <v>72</v>
      </c>
      <c r="AA9" s="35">
        <v>65</v>
      </c>
      <c r="AB9" s="36">
        <v>52</v>
      </c>
      <c r="AC9" s="36">
        <v>80</v>
      </c>
      <c r="AD9" s="36">
        <v>42</v>
      </c>
      <c r="AE9" s="36">
        <v>80</v>
      </c>
      <c r="AF9" s="36">
        <v>46</v>
      </c>
      <c r="AG9" s="36">
        <v>65</v>
      </c>
      <c r="AH9" s="31">
        <v>64</v>
      </c>
      <c r="AI9" s="36">
        <v>43</v>
      </c>
      <c r="AJ9" s="36">
        <v>73</v>
      </c>
      <c r="AK9" s="36">
        <v>85</v>
      </c>
      <c r="AL9" s="36">
        <v>65</v>
      </c>
      <c r="AM9" s="36">
        <v>85</v>
      </c>
      <c r="AN9" s="36">
        <v>44</v>
      </c>
      <c r="AO9" s="36">
        <v>87</v>
      </c>
      <c r="AP9" s="36">
        <v>57</v>
      </c>
      <c r="AQ9" s="36">
        <v>77</v>
      </c>
    </row>
    <row r="10" spans="1:43" s="3" customFormat="1" x14ac:dyDescent="0.25">
      <c r="A10" s="3">
        <v>6</v>
      </c>
      <c r="B10" s="4" t="s">
        <v>19</v>
      </c>
      <c r="C10" s="23">
        <f t="shared" si="0"/>
        <v>40.25</v>
      </c>
      <c r="D10" s="44">
        <v>32</v>
      </c>
      <c r="E10" s="41">
        <v>16</v>
      </c>
      <c r="F10" s="41">
        <v>46</v>
      </c>
      <c r="G10" s="42">
        <v>61</v>
      </c>
      <c r="H10" s="41">
        <v>39</v>
      </c>
      <c r="I10" s="41">
        <v>78</v>
      </c>
      <c r="J10" s="41">
        <v>18</v>
      </c>
      <c r="K10" s="41">
        <v>64</v>
      </c>
      <c r="L10" s="42">
        <v>21</v>
      </c>
      <c r="M10" s="41">
        <v>65</v>
      </c>
      <c r="N10" s="33">
        <v>29</v>
      </c>
      <c r="O10" s="35">
        <v>15</v>
      </c>
      <c r="P10" s="35">
        <v>43</v>
      </c>
      <c r="Q10" s="35">
        <v>58</v>
      </c>
      <c r="R10" s="34">
        <v>30</v>
      </c>
      <c r="S10" s="36">
        <v>65</v>
      </c>
      <c r="T10" s="35">
        <v>10</v>
      </c>
      <c r="U10" s="35">
        <v>60</v>
      </c>
      <c r="V10" s="34">
        <v>20</v>
      </c>
      <c r="W10" s="34">
        <v>53</v>
      </c>
      <c r="X10" s="31">
        <v>38</v>
      </c>
      <c r="Y10" s="36">
        <v>38</v>
      </c>
      <c r="Z10" s="36">
        <v>71</v>
      </c>
      <c r="AA10" s="35">
        <v>67</v>
      </c>
      <c r="AB10" s="36">
        <v>51</v>
      </c>
      <c r="AC10" s="36">
        <v>83</v>
      </c>
      <c r="AD10" s="36">
        <v>42</v>
      </c>
      <c r="AE10" s="36">
        <v>82</v>
      </c>
      <c r="AF10" s="36">
        <v>46</v>
      </c>
      <c r="AG10" s="36">
        <v>68</v>
      </c>
      <c r="AH10" s="31">
        <v>62</v>
      </c>
      <c r="AI10" s="36">
        <v>43</v>
      </c>
      <c r="AJ10" s="36">
        <v>68</v>
      </c>
      <c r="AK10" s="36">
        <v>90</v>
      </c>
      <c r="AL10" s="36">
        <v>63</v>
      </c>
      <c r="AM10" s="36">
        <v>85</v>
      </c>
      <c r="AN10" s="36">
        <v>48</v>
      </c>
      <c r="AO10" s="36">
        <v>85</v>
      </c>
      <c r="AP10" s="36">
        <v>56</v>
      </c>
      <c r="AQ10" s="36">
        <v>78</v>
      </c>
    </row>
    <row r="12" spans="1:43" ht="31.5" customHeight="1" x14ac:dyDescent="0.25">
      <c r="B12" s="72" t="s">
        <v>30</v>
      </c>
      <c r="C12" s="72"/>
    </row>
    <row r="13" spans="1:43" ht="15.75" x14ac:dyDescent="0.25">
      <c r="B13" s="28" t="s">
        <v>24</v>
      </c>
    </row>
    <row r="14" spans="1:43" ht="15.75" x14ac:dyDescent="0.25">
      <c r="B14" s="29" t="s">
        <v>25</v>
      </c>
    </row>
    <row r="15" spans="1:43" ht="15.75" x14ac:dyDescent="0.25">
      <c r="B15" s="30" t="s">
        <v>26</v>
      </c>
    </row>
    <row r="17" spans="1:43" s="6" customFormat="1" x14ac:dyDescent="0.25">
      <c r="B17" s="40" t="s">
        <v>29</v>
      </c>
      <c r="C17" s="40"/>
      <c r="D17" s="17" t="s">
        <v>11</v>
      </c>
      <c r="E17" s="18"/>
      <c r="F17" s="18"/>
      <c r="G17" s="18"/>
      <c r="H17" s="18"/>
      <c r="I17" s="18"/>
      <c r="J17" s="18"/>
      <c r="K17" s="18"/>
      <c r="L17" s="18"/>
      <c r="M17" s="18"/>
      <c r="N17" s="15" t="s">
        <v>12</v>
      </c>
      <c r="O17" s="16"/>
      <c r="P17" s="16"/>
      <c r="Q17" s="16"/>
      <c r="R17" s="16"/>
      <c r="S17" s="16"/>
      <c r="T17" s="16"/>
      <c r="U17" s="16"/>
      <c r="V17" s="16"/>
      <c r="W17" s="16"/>
      <c r="X17" s="13" t="s">
        <v>13</v>
      </c>
      <c r="Y17" s="14"/>
      <c r="Z17" s="14"/>
      <c r="AA17" s="14"/>
      <c r="AB17" s="14"/>
      <c r="AC17" s="14"/>
      <c r="AD17" s="14"/>
      <c r="AE17" s="14"/>
      <c r="AF17" s="14"/>
      <c r="AG17" s="14"/>
      <c r="AH17" s="10" t="s">
        <v>22</v>
      </c>
      <c r="AI17" s="11"/>
      <c r="AJ17" s="11"/>
      <c r="AK17" s="11"/>
      <c r="AL17" s="11"/>
      <c r="AM17" s="11"/>
      <c r="AN17" s="11"/>
      <c r="AO17" s="11"/>
      <c r="AP17" s="11"/>
      <c r="AQ17" s="12"/>
    </row>
    <row r="18" spans="1:43" s="2" customFormat="1" ht="45" customHeight="1" x14ac:dyDescent="0.25">
      <c r="A18" s="1" t="s">
        <v>28</v>
      </c>
      <c r="B18" s="1" t="s">
        <v>0</v>
      </c>
      <c r="C18" s="24" t="s">
        <v>23</v>
      </c>
      <c r="D18" s="5" t="s">
        <v>1</v>
      </c>
      <c r="E18" s="22" t="s">
        <v>2</v>
      </c>
      <c r="F18" s="22" t="s">
        <v>3</v>
      </c>
      <c r="G18" s="22" t="s">
        <v>4</v>
      </c>
      <c r="H18" s="22" t="s">
        <v>5</v>
      </c>
      <c r="I18" s="22" t="s">
        <v>9</v>
      </c>
      <c r="J18" s="22" t="s">
        <v>8</v>
      </c>
      <c r="K18" s="22" t="s">
        <v>7</v>
      </c>
      <c r="L18" s="22" t="s">
        <v>6</v>
      </c>
      <c r="M18" s="25" t="s">
        <v>10</v>
      </c>
      <c r="N18" s="7" t="s">
        <v>1</v>
      </c>
      <c r="O18" s="21" t="s">
        <v>2</v>
      </c>
      <c r="P18" s="21" t="s">
        <v>3</v>
      </c>
      <c r="Q18" s="21" t="s">
        <v>4</v>
      </c>
      <c r="R18" s="21" t="s">
        <v>5</v>
      </c>
      <c r="S18" s="21" t="s">
        <v>9</v>
      </c>
      <c r="T18" s="21" t="s">
        <v>8</v>
      </c>
      <c r="U18" s="21" t="s">
        <v>7</v>
      </c>
      <c r="V18" s="21" t="s">
        <v>6</v>
      </c>
      <c r="W18" s="26" t="s">
        <v>10</v>
      </c>
      <c r="X18" s="8" t="s">
        <v>1</v>
      </c>
      <c r="Y18" s="20" t="s">
        <v>2</v>
      </c>
      <c r="Z18" s="20" t="s">
        <v>3</v>
      </c>
      <c r="AA18" s="20" t="s">
        <v>4</v>
      </c>
      <c r="AB18" s="20" t="s">
        <v>5</v>
      </c>
      <c r="AC18" s="20" t="s">
        <v>9</v>
      </c>
      <c r="AD18" s="20" t="s">
        <v>8</v>
      </c>
      <c r="AE18" s="20" t="s">
        <v>7</v>
      </c>
      <c r="AF18" s="20" t="s">
        <v>6</v>
      </c>
      <c r="AG18" s="27" t="s">
        <v>10</v>
      </c>
      <c r="AH18" s="9" t="s">
        <v>1</v>
      </c>
      <c r="AI18" s="19" t="s">
        <v>2</v>
      </c>
      <c r="AJ18" s="19" t="s">
        <v>3</v>
      </c>
      <c r="AK18" s="19" t="s">
        <v>4</v>
      </c>
      <c r="AL18" s="19" t="s">
        <v>5</v>
      </c>
      <c r="AM18" s="19" t="s">
        <v>9</v>
      </c>
      <c r="AN18" s="19" t="s">
        <v>8</v>
      </c>
      <c r="AO18" s="19" t="s">
        <v>7</v>
      </c>
      <c r="AP18" s="19" t="s">
        <v>6</v>
      </c>
      <c r="AQ18" s="19" t="s">
        <v>10</v>
      </c>
    </row>
    <row r="19" spans="1:43" x14ac:dyDescent="0.25">
      <c r="A19" s="3">
        <v>3</v>
      </c>
      <c r="B19" s="38" t="s">
        <v>16</v>
      </c>
      <c r="C19" s="23">
        <f t="shared" ref="C19:C25" si="1">AVERAGE(D19,N19,X19,AH19)</f>
        <v>50.25</v>
      </c>
      <c r="D19" s="39">
        <v>41</v>
      </c>
      <c r="E19" s="39">
        <v>20</v>
      </c>
      <c r="F19" s="39">
        <v>55</v>
      </c>
      <c r="G19" s="39">
        <v>55</v>
      </c>
      <c r="H19" s="39">
        <v>41</v>
      </c>
      <c r="I19" s="39">
        <v>80</v>
      </c>
      <c r="J19" s="39">
        <v>14</v>
      </c>
      <c r="K19" s="39">
        <v>75</v>
      </c>
      <c r="L19" s="39">
        <v>29</v>
      </c>
      <c r="M19" s="39">
        <v>63</v>
      </c>
      <c r="N19" s="23">
        <v>42</v>
      </c>
      <c r="O19" s="37">
        <v>24</v>
      </c>
      <c r="P19" s="37">
        <v>58</v>
      </c>
      <c r="Q19" s="37">
        <v>59</v>
      </c>
      <c r="R19" s="37">
        <v>41</v>
      </c>
      <c r="S19" s="37">
        <v>66</v>
      </c>
      <c r="T19" s="37">
        <v>19</v>
      </c>
      <c r="U19" s="37">
        <v>72</v>
      </c>
      <c r="V19" s="37">
        <v>28</v>
      </c>
      <c r="W19" s="37">
        <v>63</v>
      </c>
      <c r="X19" s="23">
        <v>36</v>
      </c>
      <c r="Y19" s="39">
        <v>37</v>
      </c>
      <c r="Z19" s="39">
        <v>78</v>
      </c>
      <c r="AA19" s="39">
        <v>57</v>
      </c>
      <c r="AB19" s="39">
        <v>49</v>
      </c>
      <c r="AC19" s="39">
        <v>71</v>
      </c>
      <c r="AD19" s="39">
        <v>43</v>
      </c>
      <c r="AE19" s="39">
        <v>84</v>
      </c>
      <c r="AF19" s="39">
        <v>39</v>
      </c>
      <c r="AG19" s="39">
        <v>64</v>
      </c>
      <c r="AH19" s="23">
        <v>82</v>
      </c>
      <c r="AI19" s="39">
        <v>57</v>
      </c>
      <c r="AJ19" s="39">
        <v>87</v>
      </c>
      <c r="AK19" s="39">
        <v>90</v>
      </c>
      <c r="AL19" s="39">
        <v>78</v>
      </c>
      <c r="AM19" s="39">
        <v>91</v>
      </c>
      <c r="AN19" s="39">
        <v>59</v>
      </c>
      <c r="AO19" s="39">
        <v>94</v>
      </c>
      <c r="AP19" s="39">
        <v>60</v>
      </c>
      <c r="AQ19" s="39">
        <v>82</v>
      </c>
    </row>
    <row r="20" spans="1:43" x14ac:dyDescent="0.25">
      <c r="A20" s="3">
        <v>2</v>
      </c>
      <c r="B20" s="38" t="s">
        <v>15</v>
      </c>
      <c r="C20" s="23">
        <f t="shared" si="1"/>
        <v>51.25</v>
      </c>
      <c r="D20" s="39">
        <v>49</v>
      </c>
      <c r="E20" s="39">
        <v>25</v>
      </c>
      <c r="F20" s="39">
        <v>65</v>
      </c>
      <c r="G20" s="39">
        <v>56</v>
      </c>
      <c r="H20" s="39">
        <v>50</v>
      </c>
      <c r="I20" s="39">
        <v>76</v>
      </c>
      <c r="J20" s="39">
        <v>29</v>
      </c>
      <c r="K20" s="39">
        <v>84</v>
      </c>
      <c r="L20" s="39">
        <v>33</v>
      </c>
      <c r="M20" s="39">
        <v>74</v>
      </c>
      <c r="N20" s="23">
        <v>39</v>
      </c>
      <c r="O20" s="37">
        <v>22</v>
      </c>
      <c r="P20" s="37">
        <v>57</v>
      </c>
      <c r="Q20" s="37">
        <v>54</v>
      </c>
      <c r="R20" s="37">
        <v>40</v>
      </c>
      <c r="S20" s="37">
        <v>72</v>
      </c>
      <c r="T20" s="37">
        <v>14</v>
      </c>
      <c r="U20" s="37">
        <v>71</v>
      </c>
      <c r="V20" s="37">
        <v>30</v>
      </c>
      <c r="W20" s="37">
        <v>70</v>
      </c>
      <c r="X20" s="23">
        <v>38</v>
      </c>
      <c r="Y20" s="39">
        <v>40</v>
      </c>
      <c r="Z20" s="39">
        <v>75</v>
      </c>
      <c r="AA20" s="39">
        <v>63</v>
      </c>
      <c r="AB20" s="39">
        <v>52</v>
      </c>
      <c r="AC20" s="39">
        <v>80</v>
      </c>
      <c r="AD20" s="39">
        <v>48</v>
      </c>
      <c r="AE20" s="39">
        <v>88</v>
      </c>
      <c r="AF20" s="39">
        <v>41</v>
      </c>
      <c r="AG20" s="39">
        <v>61</v>
      </c>
      <c r="AH20" s="23">
        <v>79</v>
      </c>
      <c r="AI20" s="39">
        <v>53</v>
      </c>
      <c r="AJ20" s="39">
        <v>86</v>
      </c>
      <c r="AK20" s="39">
        <v>89</v>
      </c>
      <c r="AL20" s="39">
        <v>79</v>
      </c>
      <c r="AM20" s="39">
        <v>89</v>
      </c>
      <c r="AN20" s="39">
        <v>56</v>
      </c>
      <c r="AO20" s="39">
        <v>94</v>
      </c>
      <c r="AP20" s="39">
        <v>61</v>
      </c>
      <c r="AQ20" s="39">
        <v>84</v>
      </c>
    </row>
    <row r="21" spans="1:43" x14ac:dyDescent="0.25">
      <c r="A21" s="3">
        <v>4</v>
      </c>
      <c r="B21" s="38" t="s">
        <v>17</v>
      </c>
      <c r="C21" s="23">
        <f t="shared" si="1"/>
        <v>54</v>
      </c>
      <c r="D21" s="39">
        <v>48</v>
      </c>
      <c r="E21" s="39">
        <v>25</v>
      </c>
      <c r="F21" s="39">
        <v>65</v>
      </c>
      <c r="G21" s="39">
        <v>63</v>
      </c>
      <c r="H21" s="39">
        <v>53</v>
      </c>
      <c r="I21" s="39">
        <v>79</v>
      </c>
      <c r="J21" s="39">
        <v>27</v>
      </c>
      <c r="K21" s="39">
        <v>75</v>
      </c>
      <c r="L21" s="39">
        <v>34</v>
      </c>
      <c r="M21" s="39">
        <v>77</v>
      </c>
      <c r="N21" s="23">
        <v>44</v>
      </c>
      <c r="O21" s="37">
        <v>27</v>
      </c>
      <c r="P21" s="37">
        <v>51</v>
      </c>
      <c r="Q21" s="37">
        <v>61</v>
      </c>
      <c r="R21" s="37">
        <v>41</v>
      </c>
      <c r="S21" s="37">
        <v>71</v>
      </c>
      <c r="T21" s="37">
        <v>22</v>
      </c>
      <c r="U21" s="37">
        <v>67</v>
      </c>
      <c r="V21" s="37">
        <v>27</v>
      </c>
      <c r="W21" s="37">
        <v>64</v>
      </c>
      <c r="X21" s="23">
        <v>42</v>
      </c>
      <c r="Y21" s="39">
        <v>38</v>
      </c>
      <c r="Z21" s="39">
        <v>81</v>
      </c>
      <c r="AA21" s="39">
        <v>65</v>
      </c>
      <c r="AB21" s="39">
        <v>59</v>
      </c>
      <c r="AC21" s="39">
        <v>83</v>
      </c>
      <c r="AD21" s="39">
        <v>48</v>
      </c>
      <c r="AE21" s="39">
        <v>89</v>
      </c>
      <c r="AF21" s="39">
        <v>47</v>
      </c>
      <c r="AG21" s="39">
        <v>62</v>
      </c>
      <c r="AH21" s="23">
        <v>82</v>
      </c>
      <c r="AI21" s="39">
        <v>61</v>
      </c>
      <c r="AJ21" s="39">
        <v>88</v>
      </c>
      <c r="AK21" s="39">
        <v>91</v>
      </c>
      <c r="AL21" s="39">
        <v>72</v>
      </c>
      <c r="AM21" s="39">
        <v>85</v>
      </c>
      <c r="AN21" s="39">
        <v>63</v>
      </c>
      <c r="AO21" s="39">
        <v>96</v>
      </c>
      <c r="AP21" s="39">
        <v>71</v>
      </c>
      <c r="AQ21" s="39">
        <v>85</v>
      </c>
    </row>
    <row r="22" spans="1:43" x14ac:dyDescent="0.25">
      <c r="A22" s="3">
        <v>5</v>
      </c>
      <c r="B22" s="38" t="s">
        <v>18</v>
      </c>
      <c r="C22" s="23">
        <f t="shared" si="1"/>
        <v>52</v>
      </c>
      <c r="D22" s="39">
        <v>35</v>
      </c>
      <c r="E22" s="39">
        <v>15</v>
      </c>
      <c r="F22" s="39">
        <v>53</v>
      </c>
      <c r="G22" s="39">
        <v>58</v>
      </c>
      <c r="H22" s="39">
        <v>39</v>
      </c>
      <c r="I22" s="39">
        <v>73</v>
      </c>
      <c r="J22" s="39">
        <v>13</v>
      </c>
      <c r="K22" s="39">
        <v>77</v>
      </c>
      <c r="L22" s="39">
        <v>29</v>
      </c>
      <c r="M22" s="39">
        <v>66</v>
      </c>
      <c r="N22" s="23">
        <v>40</v>
      </c>
      <c r="O22" s="37">
        <v>23</v>
      </c>
      <c r="P22" s="37">
        <v>48</v>
      </c>
      <c r="Q22" s="37">
        <v>53</v>
      </c>
      <c r="R22" s="37">
        <v>37</v>
      </c>
      <c r="S22" s="37">
        <v>76</v>
      </c>
      <c r="T22" s="37">
        <v>19</v>
      </c>
      <c r="U22" s="37">
        <v>67</v>
      </c>
      <c r="V22" s="37">
        <v>27</v>
      </c>
      <c r="W22" s="37">
        <v>50</v>
      </c>
      <c r="X22" s="23">
        <v>41</v>
      </c>
      <c r="Y22" s="39">
        <v>41</v>
      </c>
      <c r="Z22" s="39">
        <v>74</v>
      </c>
      <c r="AA22" s="39">
        <v>65</v>
      </c>
      <c r="AB22" s="39">
        <v>56</v>
      </c>
      <c r="AC22" s="39">
        <v>85</v>
      </c>
      <c r="AD22" s="39">
        <v>48</v>
      </c>
      <c r="AE22" s="39">
        <v>89</v>
      </c>
      <c r="AF22" s="39">
        <v>46</v>
      </c>
      <c r="AG22" s="39">
        <v>71</v>
      </c>
      <c r="AH22" s="23">
        <v>92</v>
      </c>
      <c r="AI22" s="39">
        <v>63</v>
      </c>
      <c r="AJ22" s="39">
        <v>96</v>
      </c>
      <c r="AK22" s="39">
        <v>92</v>
      </c>
      <c r="AL22" s="39">
        <v>80</v>
      </c>
      <c r="AM22" s="39">
        <v>84</v>
      </c>
      <c r="AN22" s="39">
        <v>65</v>
      </c>
      <c r="AO22" s="39">
        <v>99</v>
      </c>
      <c r="AP22" s="39">
        <v>66</v>
      </c>
      <c r="AQ22" s="39">
        <v>89</v>
      </c>
    </row>
    <row r="23" spans="1:43" x14ac:dyDescent="0.25">
      <c r="A23" s="3">
        <v>1</v>
      </c>
      <c r="B23" s="38" t="s">
        <v>14</v>
      </c>
      <c r="C23" s="23">
        <f t="shared" si="1"/>
        <v>51.25</v>
      </c>
      <c r="D23" s="39">
        <v>36</v>
      </c>
      <c r="E23" s="39">
        <v>15</v>
      </c>
      <c r="F23" s="39">
        <v>53</v>
      </c>
      <c r="G23" s="39">
        <v>62</v>
      </c>
      <c r="H23" s="39">
        <v>40</v>
      </c>
      <c r="I23" s="39">
        <v>81</v>
      </c>
      <c r="J23" s="39">
        <v>20</v>
      </c>
      <c r="K23" s="39">
        <v>75</v>
      </c>
      <c r="L23" s="39">
        <v>20</v>
      </c>
      <c r="M23" s="39">
        <v>66</v>
      </c>
      <c r="N23" s="23">
        <v>49</v>
      </c>
      <c r="O23" s="37">
        <v>30</v>
      </c>
      <c r="P23" s="37">
        <v>53</v>
      </c>
      <c r="Q23" s="37">
        <v>58</v>
      </c>
      <c r="R23" s="37">
        <v>43</v>
      </c>
      <c r="S23" s="37">
        <v>71</v>
      </c>
      <c r="T23" s="37">
        <v>20</v>
      </c>
      <c r="U23" s="37">
        <v>63</v>
      </c>
      <c r="V23" s="37">
        <v>30</v>
      </c>
      <c r="W23" s="37">
        <v>52</v>
      </c>
      <c r="X23" s="23">
        <v>38</v>
      </c>
      <c r="Y23" s="39">
        <v>38</v>
      </c>
      <c r="Z23" s="39">
        <v>71</v>
      </c>
      <c r="AA23" s="39">
        <v>58</v>
      </c>
      <c r="AB23" s="39">
        <v>48</v>
      </c>
      <c r="AC23" s="39">
        <v>70</v>
      </c>
      <c r="AD23" s="39">
        <v>36</v>
      </c>
      <c r="AE23" s="39">
        <v>77</v>
      </c>
      <c r="AF23" s="39">
        <v>34</v>
      </c>
      <c r="AG23" s="39">
        <v>56</v>
      </c>
      <c r="AH23" s="23">
        <v>82</v>
      </c>
      <c r="AI23" s="39">
        <v>59</v>
      </c>
      <c r="AJ23" s="39">
        <v>86</v>
      </c>
      <c r="AK23" s="39">
        <v>89</v>
      </c>
      <c r="AL23" s="39">
        <v>72</v>
      </c>
      <c r="AM23" s="39">
        <v>90</v>
      </c>
      <c r="AN23" s="39">
        <v>60</v>
      </c>
      <c r="AO23" s="39">
        <v>92</v>
      </c>
      <c r="AP23" s="39">
        <v>60</v>
      </c>
      <c r="AQ23" s="39">
        <v>81</v>
      </c>
    </row>
    <row r="24" spans="1:43" x14ac:dyDescent="0.25">
      <c r="A24" s="3">
        <v>7</v>
      </c>
      <c r="B24" s="38" t="s">
        <v>20</v>
      </c>
      <c r="C24" s="23">
        <f t="shared" si="1"/>
        <v>49.75</v>
      </c>
      <c r="D24" s="39">
        <v>37</v>
      </c>
      <c r="E24" s="39">
        <v>18</v>
      </c>
      <c r="F24" s="39">
        <v>51</v>
      </c>
      <c r="G24" s="39">
        <v>54</v>
      </c>
      <c r="H24" s="39">
        <v>40</v>
      </c>
      <c r="I24" s="39">
        <v>83</v>
      </c>
      <c r="J24" s="39">
        <v>15</v>
      </c>
      <c r="K24" s="39">
        <v>68</v>
      </c>
      <c r="L24" s="39">
        <v>31</v>
      </c>
      <c r="M24" s="39">
        <v>66</v>
      </c>
      <c r="N24" s="23">
        <v>40</v>
      </c>
      <c r="O24" s="37">
        <v>24</v>
      </c>
      <c r="P24" s="37">
        <v>50</v>
      </c>
      <c r="Q24" s="37">
        <v>56</v>
      </c>
      <c r="R24" s="37">
        <v>37</v>
      </c>
      <c r="S24" s="37">
        <v>69</v>
      </c>
      <c r="T24" s="37">
        <v>20</v>
      </c>
      <c r="U24" s="37">
        <v>65</v>
      </c>
      <c r="V24" s="37">
        <v>24</v>
      </c>
      <c r="W24" s="37">
        <v>53</v>
      </c>
      <c r="X24" s="23">
        <v>42</v>
      </c>
      <c r="Y24" s="39">
        <v>46</v>
      </c>
      <c r="Z24" s="39">
        <v>81</v>
      </c>
      <c r="AA24" s="39">
        <v>63</v>
      </c>
      <c r="AB24" s="39">
        <v>64</v>
      </c>
      <c r="AC24" s="39">
        <v>83</v>
      </c>
      <c r="AD24" s="39">
        <v>46</v>
      </c>
      <c r="AE24" s="39">
        <v>90</v>
      </c>
      <c r="AF24" s="39">
        <v>46</v>
      </c>
      <c r="AG24" s="39">
        <v>69</v>
      </c>
      <c r="AH24" s="23">
        <v>80</v>
      </c>
      <c r="AI24" s="39">
        <v>62</v>
      </c>
      <c r="AJ24" s="39">
        <v>85</v>
      </c>
      <c r="AK24" s="39">
        <v>86</v>
      </c>
      <c r="AL24" s="39">
        <v>71</v>
      </c>
      <c r="AM24" s="39">
        <v>90</v>
      </c>
      <c r="AN24" s="39">
        <v>58</v>
      </c>
      <c r="AO24" s="39">
        <v>92</v>
      </c>
      <c r="AP24" s="39">
        <v>70</v>
      </c>
      <c r="AQ24" s="39">
        <v>85</v>
      </c>
    </row>
    <row r="25" spans="1:43" x14ac:dyDescent="0.25">
      <c r="A25" s="3">
        <v>8</v>
      </c>
      <c r="B25" s="38" t="s">
        <v>21</v>
      </c>
      <c r="C25" s="23">
        <f t="shared" si="1"/>
        <v>47.25</v>
      </c>
      <c r="D25" s="39">
        <v>45</v>
      </c>
      <c r="E25" s="39">
        <v>23</v>
      </c>
      <c r="F25" s="39">
        <v>54</v>
      </c>
      <c r="G25" s="39">
        <v>58</v>
      </c>
      <c r="H25" s="39">
        <v>43</v>
      </c>
      <c r="I25" s="39">
        <v>76</v>
      </c>
      <c r="J25" s="39">
        <v>19</v>
      </c>
      <c r="K25" s="39">
        <v>65</v>
      </c>
      <c r="L25" s="39">
        <v>26</v>
      </c>
      <c r="M25" s="39">
        <v>75</v>
      </c>
      <c r="N25" s="23">
        <v>34</v>
      </c>
      <c r="O25" s="37">
        <v>20</v>
      </c>
      <c r="P25" s="37">
        <v>51</v>
      </c>
      <c r="Q25" s="37">
        <v>54</v>
      </c>
      <c r="R25" s="37">
        <v>35</v>
      </c>
      <c r="S25" s="37">
        <v>72</v>
      </c>
      <c r="T25" s="37">
        <v>21</v>
      </c>
      <c r="U25" s="37">
        <v>60</v>
      </c>
      <c r="V25" s="37">
        <v>32</v>
      </c>
      <c r="W25" s="37">
        <v>59</v>
      </c>
      <c r="X25" s="23">
        <v>36</v>
      </c>
      <c r="Y25" s="39">
        <v>34</v>
      </c>
      <c r="Z25" s="39">
        <v>79</v>
      </c>
      <c r="AA25" s="39">
        <v>61</v>
      </c>
      <c r="AB25" s="39">
        <v>50</v>
      </c>
      <c r="AC25" s="39">
        <v>83</v>
      </c>
      <c r="AD25" s="39">
        <v>44</v>
      </c>
      <c r="AE25" s="39">
        <v>84</v>
      </c>
      <c r="AF25" s="39">
        <v>42</v>
      </c>
      <c r="AG25" s="39">
        <v>61</v>
      </c>
      <c r="AH25" s="23">
        <v>74</v>
      </c>
      <c r="AI25" s="39">
        <v>49</v>
      </c>
      <c r="AJ25" s="39">
        <v>84</v>
      </c>
      <c r="AK25" s="39">
        <v>85</v>
      </c>
      <c r="AL25" s="39">
        <v>73</v>
      </c>
      <c r="AM25" s="39">
        <v>87</v>
      </c>
      <c r="AN25" s="39">
        <v>52</v>
      </c>
      <c r="AO25" s="39">
        <v>88</v>
      </c>
      <c r="AP25" s="39">
        <v>54</v>
      </c>
      <c r="AQ25" s="39">
        <v>86</v>
      </c>
    </row>
    <row r="26" spans="1:43" x14ac:dyDescent="0.25">
      <c r="A26" s="3">
        <v>6</v>
      </c>
      <c r="B26" s="38" t="s">
        <v>19</v>
      </c>
      <c r="C26" s="23">
        <f t="shared" ref="C26" si="2">AVERAGE(D26,N26,X26,AH26)</f>
        <v>42</v>
      </c>
      <c r="D26" s="39">
        <v>33</v>
      </c>
      <c r="E26" s="39">
        <v>16</v>
      </c>
      <c r="F26" s="39">
        <v>48</v>
      </c>
      <c r="G26" s="39">
        <v>60</v>
      </c>
      <c r="H26" s="39">
        <v>42</v>
      </c>
      <c r="I26" s="39">
        <v>76</v>
      </c>
      <c r="J26" s="39">
        <v>22</v>
      </c>
      <c r="K26" s="39">
        <v>72</v>
      </c>
      <c r="L26" s="39">
        <v>23</v>
      </c>
      <c r="M26" s="39">
        <v>71</v>
      </c>
      <c r="N26" s="23">
        <v>30</v>
      </c>
      <c r="O26" s="37">
        <v>18</v>
      </c>
      <c r="P26" s="37">
        <v>47</v>
      </c>
      <c r="Q26" s="37">
        <v>60</v>
      </c>
      <c r="R26" s="37">
        <v>35</v>
      </c>
      <c r="S26" s="37">
        <v>68</v>
      </c>
      <c r="T26" s="37">
        <v>12</v>
      </c>
      <c r="U26" s="37">
        <v>69</v>
      </c>
      <c r="V26" s="37">
        <v>19</v>
      </c>
      <c r="W26" s="37">
        <v>56</v>
      </c>
      <c r="X26" s="23">
        <v>36</v>
      </c>
      <c r="Y26" s="39">
        <v>37</v>
      </c>
      <c r="Z26" s="39">
        <v>72</v>
      </c>
      <c r="AA26" s="39">
        <v>68</v>
      </c>
      <c r="AB26" s="39">
        <v>55</v>
      </c>
      <c r="AC26" s="39">
        <v>80</v>
      </c>
      <c r="AD26" s="39">
        <v>47</v>
      </c>
      <c r="AE26" s="39">
        <v>84</v>
      </c>
      <c r="AF26" s="39">
        <v>46</v>
      </c>
      <c r="AG26" s="39">
        <v>72</v>
      </c>
      <c r="AH26" s="23">
        <v>69</v>
      </c>
      <c r="AI26" s="39">
        <v>47</v>
      </c>
      <c r="AJ26" s="39">
        <v>78</v>
      </c>
      <c r="AK26" s="39">
        <v>93</v>
      </c>
      <c r="AL26" s="39">
        <v>68</v>
      </c>
      <c r="AM26" s="39">
        <v>81</v>
      </c>
      <c r="AN26" s="39">
        <v>55</v>
      </c>
      <c r="AO26" s="39">
        <v>88</v>
      </c>
      <c r="AP26" s="39">
        <v>61</v>
      </c>
      <c r="AQ26" s="39">
        <v>85</v>
      </c>
    </row>
    <row r="30" spans="1:43" s="6" customFormat="1" x14ac:dyDescent="0.25">
      <c r="B30" s="40" t="s">
        <v>31</v>
      </c>
      <c r="C30" s="40"/>
      <c r="D30" s="17" t="s">
        <v>11</v>
      </c>
      <c r="E30" s="18"/>
      <c r="F30" s="18"/>
      <c r="G30" s="18"/>
      <c r="H30" s="18"/>
      <c r="I30" s="18"/>
      <c r="J30" s="18"/>
      <c r="K30" s="18"/>
      <c r="L30" s="18"/>
      <c r="M30" s="18"/>
      <c r="N30" s="15" t="s">
        <v>12</v>
      </c>
      <c r="O30" s="16"/>
      <c r="P30" s="16"/>
      <c r="Q30" s="16"/>
      <c r="R30" s="16"/>
      <c r="S30" s="16"/>
      <c r="T30" s="16"/>
      <c r="U30" s="16"/>
      <c r="V30" s="16"/>
      <c r="W30" s="16"/>
      <c r="X30" s="13" t="s">
        <v>13</v>
      </c>
      <c r="Y30" s="14"/>
      <c r="Z30" s="14"/>
      <c r="AA30" s="14"/>
      <c r="AB30" s="14"/>
      <c r="AC30" s="14"/>
      <c r="AD30" s="14"/>
      <c r="AE30" s="14"/>
      <c r="AF30" s="14"/>
      <c r="AG30" s="14"/>
      <c r="AH30" s="10" t="s">
        <v>22</v>
      </c>
      <c r="AI30" s="11"/>
      <c r="AJ30" s="11"/>
      <c r="AK30" s="11"/>
      <c r="AL30" s="11"/>
      <c r="AM30" s="11"/>
      <c r="AN30" s="11"/>
      <c r="AO30" s="11"/>
      <c r="AP30" s="11"/>
      <c r="AQ30" s="12"/>
    </row>
    <row r="31" spans="1:43" s="2" customFormat="1" ht="45" customHeight="1" x14ac:dyDescent="0.25">
      <c r="A31" s="1" t="s">
        <v>28</v>
      </c>
      <c r="B31" s="1" t="s">
        <v>0</v>
      </c>
      <c r="C31" s="24" t="s">
        <v>23</v>
      </c>
      <c r="D31" s="5" t="s">
        <v>1</v>
      </c>
      <c r="E31" s="22" t="s">
        <v>2</v>
      </c>
      <c r="F31" s="22" t="s">
        <v>3</v>
      </c>
      <c r="G31" s="22" t="s">
        <v>4</v>
      </c>
      <c r="H31" s="22" t="s">
        <v>5</v>
      </c>
      <c r="I31" s="22" t="s">
        <v>9</v>
      </c>
      <c r="J31" s="22" t="s">
        <v>8</v>
      </c>
      <c r="K31" s="22" t="s">
        <v>7</v>
      </c>
      <c r="L31" s="22" t="s">
        <v>6</v>
      </c>
      <c r="M31" s="25" t="s">
        <v>10</v>
      </c>
      <c r="N31" s="7" t="s">
        <v>1</v>
      </c>
      <c r="O31" s="21" t="s">
        <v>2</v>
      </c>
      <c r="P31" s="21" t="s">
        <v>3</v>
      </c>
      <c r="Q31" s="21" t="s">
        <v>4</v>
      </c>
      <c r="R31" s="21" t="s">
        <v>5</v>
      </c>
      <c r="S31" s="21" t="s">
        <v>9</v>
      </c>
      <c r="T31" s="21" t="s">
        <v>8</v>
      </c>
      <c r="U31" s="21" t="s">
        <v>7</v>
      </c>
      <c r="V31" s="21" t="s">
        <v>6</v>
      </c>
      <c r="W31" s="26" t="s">
        <v>10</v>
      </c>
      <c r="X31" s="8" t="s">
        <v>1</v>
      </c>
      <c r="Y31" s="20" t="s">
        <v>2</v>
      </c>
      <c r="Z31" s="20" t="s">
        <v>3</v>
      </c>
      <c r="AA31" s="20" t="s">
        <v>4</v>
      </c>
      <c r="AB31" s="20" t="s">
        <v>5</v>
      </c>
      <c r="AC31" s="20" t="s">
        <v>9</v>
      </c>
      <c r="AD31" s="20" t="s">
        <v>8</v>
      </c>
      <c r="AE31" s="20" t="s">
        <v>7</v>
      </c>
      <c r="AF31" s="20" t="s">
        <v>6</v>
      </c>
      <c r="AG31" s="27" t="s">
        <v>10</v>
      </c>
      <c r="AH31" s="9" t="s">
        <v>1</v>
      </c>
      <c r="AI31" s="19" t="s">
        <v>2</v>
      </c>
      <c r="AJ31" s="19" t="s">
        <v>3</v>
      </c>
      <c r="AK31" s="19" t="s">
        <v>4</v>
      </c>
      <c r="AL31" s="19" t="s">
        <v>5</v>
      </c>
      <c r="AM31" s="19" t="s">
        <v>9</v>
      </c>
      <c r="AN31" s="19" t="s">
        <v>8</v>
      </c>
      <c r="AO31" s="19" t="s">
        <v>7</v>
      </c>
      <c r="AP31" s="19" t="s">
        <v>6</v>
      </c>
      <c r="AQ31" s="19" t="s">
        <v>10</v>
      </c>
    </row>
    <row r="32" spans="1:43" x14ac:dyDescent="0.25">
      <c r="A32" s="3">
        <v>3</v>
      </c>
      <c r="B32" s="38" t="s">
        <v>16</v>
      </c>
      <c r="C32" s="23">
        <f t="shared" ref="C32:C38" si="3">AVERAGE(D32,N32,X32,AH32)</f>
        <v>50.25</v>
      </c>
      <c r="D32" s="39">
        <v>40</v>
      </c>
      <c r="E32" s="39">
        <v>19</v>
      </c>
      <c r="F32" s="39">
        <v>56</v>
      </c>
      <c r="G32" s="39">
        <v>61</v>
      </c>
      <c r="H32" s="39">
        <v>44</v>
      </c>
      <c r="I32" s="39">
        <v>76</v>
      </c>
      <c r="J32" s="39">
        <v>15</v>
      </c>
      <c r="K32" s="39">
        <v>71</v>
      </c>
      <c r="L32" s="39">
        <v>29</v>
      </c>
      <c r="M32" s="39">
        <v>66</v>
      </c>
      <c r="N32" s="23">
        <v>41</v>
      </c>
      <c r="O32" s="37">
        <v>22</v>
      </c>
      <c r="P32" s="37">
        <v>53</v>
      </c>
      <c r="Q32" s="37">
        <v>61</v>
      </c>
      <c r="R32" s="37">
        <v>41</v>
      </c>
      <c r="S32" s="37">
        <v>66</v>
      </c>
      <c r="T32" s="37">
        <v>16</v>
      </c>
      <c r="U32" s="37">
        <v>69</v>
      </c>
      <c r="V32" s="37">
        <v>26</v>
      </c>
      <c r="W32" s="37">
        <v>58</v>
      </c>
      <c r="X32" s="23">
        <v>47</v>
      </c>
      <c r="Y32" s="37">
        <v>49</v>
      </c>
      <c r="Z32" s="37">
        <v>84</v>
      </c>
      <c r="AA32" s="37">
        <v>69</v>
      </c>
      <c r="AB32" s="37">
        <v>59</v>
      </c>
      <c r="AC32" s="37">
        <v>76</v>
      </c>
      <c r="AD32" s="37">
        <v>52</v>
      </c>
      <c r="AE32" s="37">
        <v>89</v>
      </c>
      <c r="AF32" s="37">
        <v>46</v>
      </c>
      <c r="AG32" s="37">
        <v>72</v>
      </c>
      <c r="AH32" s="23">
        <v>73</v>
      </c>
      <c r="AI32" s="37">
        <v>51</v>
      </c>
      <c r="AJ32" s="37">
        <v>79</v>
      </c>
      <c r="AK32" s="37">
        <v>87</v>
      </c>
      <c r="AL32" s="37">
        <v>73</v>
      </c>
      <c r="AM32" s="37">
        <v>89</v>
      </c>
      <c r="AN32" s="37">
        <v>52</v>
      </c>
      <c r="AO32" s="37">
        <v>91</v>
      </c>
      <c r="AP32" s="37">
        <v>58</v>
      </c>
      <c r="AQ32" s="37">
        <v>79</v>
      </c>
    </row>
    <row r="33" spans="1:43" x14ac:dyDescent="0.25">
      <c r="A33" s="3">
        <v>2</v>
      </c>
      <c r="B33" s="38" t="s">
        <v>15</v>
      </c>
      <c r="C33" s="23">
        <f t="shared" si="3"/>
        <v>49.5</v>
      </c>
      <c r="D33" s="39">
        <v>45</v>
      </c>
      <c r="E33" s="39">
        <v>23</v>
      </c>
      <c r="F33" s="39">
        <v>63</v>
      </c>
      <c r="G33" s="39">
        <v>58</v>
      </c>
      <c r="H33" s="39">
        <v>52</v>
      </c>
      <c r="I33" s="39">
        <v>78</v>
      </c>
      <c r="J33" s="39">
        <v>23</v>
      </c>
      <c r="K33" s="39">
        <v>73</v>
      </c>
      <c r="L33" s="39">
        <v>30</v>
      </c>
      <c r="M33" s="39">
        <v>69</v>
      </c>
      <c r="N33" s="23">
        <v>36</v>
      </c>
      <c r="O33" s="37">
        <v>18</v>
      </c>
      <c r="P33" s="37">
        <v>54</v>
      </c>
      <c r="Q33" s="37">
        <v>57</v>
      </c>
      <c r="R33" s="37">
        <v>37</v>
      </c>
      <c r="S33" s="37">
        <v>67</v>
      </c>
      <c r="T33" s="37">
        <v>13</v>
      </c>
      <c r="U33" s="37">
        <v>67</v>
      </c>
      <c r="V33" s="37">
        <v>27</v>
      </c>
      <c r="W33" s="37">
        <v>59</v>
      </c>
      <c r="X33" s="23">
        <v>47</v>
      </c>
      <c r="Y33" s="37">
        <v>51</v>
      </c>
      <c r="Z33" s="37">
        <v>86</v>
      </c>
      <c r="AA33" s="37">
        <v>66</v>
      </c>
      <c r="AB33" s="37">
        <v>61</v>
      </c>
      <c r="AC33" s="37">
        <v>83</v>
      </c>
      <c r="AD33" s="37">
        <v>51</v>
      </c>
      <c r="AE33" s="37">
        <v>91</v>
      </c>
      <c r="AF33" s="37">
        <v>48</v>
      </c>
      <c r="AG33" s="37">
        <v>73</v>
      </c>
      <c r="AH33" s="23">
        <v>70</v>
      </c>
      <c r="AI33" s="37">
        <v>48</v>
      </c>
      <c r="AJ33" s="37">
        <v>77</v>
      </c>
      <c r="AK33" s="37">
        <v>88</v>
      </c>
      <c r="AL33" s="37">
        <v>72</v>
      </c>
      <c r="AM33" s="37">
        <v>95</v>
      </c>
      <c r="AN33" s="37">
        <v>52</v>
      </c>
      <c r="AO33" s="37">
        <v>89</v>
      </c>
      <c r="AP33" s="37">
        <v>59</v>
      </c>
      <c r="AQ33" s="37">
        <v>78</v>
      </c>
    </row>
    <row r="34" spans="1:43" x14ac:dyDescent="0.25">
      <c r="A34" s="3">
        <v>4</v>
      </c>
      <c r="B34" s="38" t="s">
        <v>17</v>
      </c>
      <c r="C34" s="23">
        <f t="shared" si="3"/>
        <v>48.75</v>
      </c>
      <c r="D34" s="39">
        <v>40</v>
      </c>
      <c r="E34" s="39">
        <v>22</v>
      </c>
      <c r="F34" s="39">
        <v>55</v>
      </c>
      <c r="G34" s="39">
        <v>58</v>
      </c>
      <c r="H34" s="39">
        <v>47</v>
      </c>
      <c r="I34" s="39">
        <v>77</v>
      </c>
      <c r="J34" s="39">
        <v>16</v>
      </c>
      <c r="K34" s="39">
        <v>70</v>
      </c>
      <c r="L34" s="39">
        <v>28</v>
      </c>
      <c r="M34" s="39">
        <v>67</v>
      </c>
      <c r="N34" s="23">
        <v>38</v>
      </c>
      <c r="O34" s="37">
        <v>20</v>
      </c>
      <c r="P34" s="37">
        <v>47</v>
      </c>
      <c r="Q34" s="37">
        <v>59</v>
      </c>
      <c r="R34" s="37">
        <v>33</v>
      </c>
      <c r="S34" s="37">
        <v>63</v>
      </c>
      <c r="T34" s="37">
        <v>16</v>
      </c>
      <c r="U34" s="37">
        <v>61</v>
      </c>
      <c r="V34" s="37">
        <v>25</v>
      </c>
      <c r="W34" s="37">
        <v>55</v>
      </c>
      <c r="X34" s="23">
        <v>48</v>
      </c>
      <c r="Y34" s="37">
        <v>48</v>
      </c>
      <c r="Z34" s="37">
        <v>86</v>
      </c>
      <c r="AA34" s="37">
        <v>74</v>
      </c>
      <c r="AB34" s="37">
        <v>65</v>
      </c>
      <c r="AC34" s="37">
        <v>82</v>
      </c>
      <c r="AD34" s="37">
        <v>56</v>
      </c>
      <c r="AE34" s="37">
        <v>96</v>
      </c>
      <c r="AF34" s="37">
        <v>53</v>
      </c>
      <c r="AG34" s="37">
        <v>72</v>
      </c>
      <c r="AH34" s="23">
        <v>69</v>
      </c>
      <c r="AI34" s="37">
        <v>49</v>
      </c>
      <c r="AJ34" s="37">
        <v>77</v>
      </c>
      <c r="AK34" s="37">
        <v>88</v>
      </c>
      <c r="AL34" s="37">
        <v>67</v>
      </c>
      <c r="AM34" s="37">
        <v>88</v>
      </c>
      <c r="AN34" s="37">
        <v>51</v>
      </c>
      <c r="AO34" s="37">
        <v>91</v>
      </c>
      <c r="AP34" s="37">
        <v>60</v>
      </c>
      <c r="AQ34" s="37">
        <v>77</v>
      </c>
    </row>
    <row r="35" spans="1:43" x14ac:dyDescent="0.25">
      <c r="A35" s="3">
        <v>5</v>
      </c>
      <c r="B35" s="38" t="s">
        <v>18</v>
      </c>
      <c r="C35" s="23">
        <f t="shared" si="3"/>
        <v>48.75</v>
      </c>
      <c r="D35" s="39">
        <v>39</v>
      </c>
      <c r="E35" s="39">
        <v>20</v>
      </c>
      <c r="F35" s="39">
        <v>53</v>
      </c>
      <c r="G35" s="39">
        <v>60</v>
      </c>
      <c r="H35" s="39">
        <v>43</v>
      </c>
      <c r="I35" s="39">
        <v>79</v>
      </c>
      <c r="J35" s="39">
        <v>15</v>
      </c>
      <c r="K35" s="39">
        <v>68</v>
      </c>
      <c r="L35" s="39">
        <v>29</v>
      </c>
      <c r="M35" s="39">
        <v>63</v>
      </c>
      <c r="N35" s="23">
        <v>35</v>
      </c>
      <c r="O35" s="37">
        <v>21</v>
      </c>
      <c r="P35" s="37">
        <v>46</v>
      </c>
      <c r="Q35" s="37">
        <v>59</v>
      </c>
      <c r="R35" s="37">
        <v>32</v>
      </c>
      <c r="S35" s="37">
        <v>71</v>
      </c>
      <c r="T35" s="37">
        <v>13</v>
      </c>
      <c r="U35" s="37">
        <v>59</v>
      </c>
      <c r="V35" s="37">
        <v>25</v>
      </c>
      <c r="W35" s="37">
        <v>55</v>
      </c>
      <c r="X35" s="23">
        <v>48</v>
      </c>
      <c r="Y35" s="37">
        <v>51</v>
      </c>
      <c r="Z35" s="37">
        <v>81</v>
      </c>
      <c r="AA35" s="37">
        <v>74</v>
      </c>
      <c r="AB35" s="37">
        <v>67</v>
      </c>
      <c r="AC35" s="37">
        <v>85</v>
      </c>
      <c r="AD35" s="37">
        <v>57</v>
      </c>
      <c r="AE35" s="37">
        <v>90</v>
      </c>
      <c r="AF35" s="37">
        <v>46</v>
      </c>
      <c r="AG35" s="37">
        <v>76</v>
      </c>
      <c r="AH35" s="23">
        <v>73</v>
      </c>
      <c r="AI35" s="37">
        <v>50</v>
      </c>
      <c r="AJ35" s="37">
        <v>81</v>
      </c>
      <c r="AK35" s="37">
        <v>90</v>
      </c>
      <c r="AL35" s="37">
        <v>70</v>
      </c>
      <c r="AM35" s="37">
        <v>91</v>
      </c>
      <c r="AN35" s="37">
        <v>52</v>
      </c>
      <c r="AO35" s="37">
        <v>92</v>
      </c>
      <c r="AP35" s="37">
        <v>59</v>
      </c>
      <c r="AQ35" s="37">
        <v>80</v>
      </c>
    </row>
    <row r="36" spans="1:43" x14ac:dyDescent="0.25">
      <c r="A36" s="3">
        <v>1</v>
      </c>
      <c r="B36" s="38" t="s">
        <v>14</v>
      </c>
      <c r="C36" s="23">
        <f t="shared" si="3"/>
        <v>44.75</v>
      </c>
      <c r="D36" s="39">
        <v>34</v>
      </c>
      <c r="E36" s="39">
        <v>17</v>
      </c>
      <c r="F36" s="39">
        <v>48</v>
      </c>
      <c r="G36" s="39">
        <v>58</v>
      </c>
      <c r="H36" s="39">
        <v>40</v>
      </c>
      <c r="I36" s="39">
        <v>82</v>
      </c>
      <c r="J36" s="39">
        <v>16</v>
      </c>
      <c r="K36" s="39">
        <v>64</v>
      </c>
      <c r="L36" s="39">
        <v>24</v>
      </c>
      <c r="M36" s="39">
        <v>57</v>
      </c>
      <c r="N36" s="23">
        <v>39</v>
      </c>
      <c r="O36" s="37">
        <v>21</v>
      </c>
      <c r="P36" s="37">
        <v>51</v>
      </c>
      <c r="Q36" s="37">
        <v>59</v>
      </c>
      <c r="R36" s="37">
        <v>40</v>
      </c>
      <c r="S36" s="37">
        <v>66</v>
      </c>
      <c r="T36" s="37">
        <v>16</v>
      </c>
      <c r="U36" s="37">
        <v>65</v>
      </c>
      <c r="V36" s="37">
        <v>26</v>
      </c>
      <c r="W36" s="37">
        <v>56</v>
      </c>
      <c r="X36" s="23">
        <v>43</v>
      </c>
      <c r="Y36" s="37">
        <v>44</v>
      </c>
      <c r="Z36" s="37">
        <v>79</v>
      </c>
      <c r="AA36" s="37">
        <v>66</v>
      </c>
      <c r="AB36" s="37">
        <v>54</v>
      </c>
      <c r="AC36" s="37">
        <v>79</v>
      </c>
      <c r="AD36" s="37">
        <v>50</v>
      </c>
      <c r="AE36" s="37">
        <v>82</v>
      </c>
      <c r="AF36" s="37">
        <v>50</v>
      </c>
      <c r="AG36" s="37">
        <v>67</v>
      </c>
      <c r="AH36" s="23">
        <v>63</v>
      </c>
      <c r="AI36" s="37">
        <v>43</v>
      </c>
      <c r="AJ36" s="37">
        <v>74</v>
      </c>
      <c r="AK36" s="37">
        <v>87</v>
      </c>
      <c r="AL36" s="37">
        <v>70</v>
      </c>
      <c r="AM36" s="37">
        <v>94</v>
      </c>
      <c r="AN36" s="37">
        <v>52</v>
      </c>
      <c r="AO36" s="37">
        <v>88</v>
      </c>
      <c r="AP36" s="37">
        <v>61</v>
      </c>
      <c r="AQ36" s="37">
        <v>76</v>
      </c>
    </row>
    <row r="37" spans="1:43" x14ac:dyDescent="0.25">
      <c r="A37" s="3">
        <v>7</v>
      </c>
      <c r="B37" s="38" t="s">
        <v>20</v>
      </c>
      <c r="C37" s="23">
        <f t="shared" si="3"/>
        <v>45.25</v>
      </c>
      <c r="D37" s="39">
        <v>36</v>
      </c>
      <c r="E37" s="39">
        <v>19</v>
      </c>
      <c r="F37" s="39">
        <v>49</v>
      </c>
      <c r="G37" s="39">
        <v>58</v>
      </c>
      <c r="H37" s="39">
        <v>41</v>
      </c>
      <c r="I37" s="39">
        <v>81</v>
      </c>
      <c r="J37" s="39">
        <v>14</v>
      </c>
      <c r="K37" s="39">
        <v>65</v>
      </c>
      <c r="L37" s="39">
        <v>29</v>
      </c>
      <c r="M37" s="39">
        <v>65</v>
      </c>
      <c r="N37" s="23">
        <v>33</v>
      </c>
      <c r="O37" s="37">
        <v>18</v>
      </c>
      <c r="P37" s="37">
        <v>45</v>
      </c>
      <c r="Q37" s="37">
        <v>61</v>
      </c>
      <c r="R37" s="37">
        <v>34</v>
      </c>
      <c r="S37" s="37">
        <v>67</v>
      </c>
      <c r="T37" s="37">
        <v>15</v>
      </c>
      <c r="U37" s="37">
        <v>60</v>
      </c>
      <c r="V37" s="37">
        <v>23</v>
      </c>
      <c r="W37" s="37">
        <v>58</v>
      </c>
      <c r="X37" s="23">
        <v>49</v>
      </c>
      <c r="Y37" s="37">
        <v>53</v>
      </c>
      <c r="Z37" s="37">
        <v>85</v>
      </c>
      <c r="AA37" s="37">
        <v>70</v>
      </c>
      <c r="AB37" s="37">
        <v>61</v>
      </c>
      <c r="AC37" s="37">
        <v>82</v>
      </c>
      <c r="AD37" s="37">
        <v>52</v>
      </c>
      <c r="AE37" s="37">
        <v>91</v>
      </c>
      <c r="AF37" s="37">
        <v>52</v>
      </c>
      <c r="AG37" s="37">
        <v>72</v>
      </c>
      <c r="AH37" s="23">
        <v>63</v>
      </c>
      <c r="AI37" s="37">
        <v>46</v>
      </c>
      <c r="AJ37" s="37">
        <v>72</v>
      </c>
      <c r="AK37" s="37">
        <v>86</v>
      </c>
      <c r="AL37" s="37">
        <v>62</v>
      </c>
      <c r="AM37" s="37">
        <v>89</v>
      </c>
      <c r="AN37" s="37">
        <v>47</v>
      </c>
      <c r="AO37" s="37">
        <v>86</v>
      </c>
      <c r="AP37" s="37">
        <v>60</v>
      </c>
      <c r="AQ37" s="37">
        <v>79</v>
      </c>
    </row>
    <row r="38" spans="1:43" x14ac:dyDescent="0.25">
      <c r="A38" s="3">
        <v>8</v>
      </c>
      <c r="B38" s="38" t="s">
        <v>21</v>
      </c>
      <c r="C38" s="23">
        <f t="shared" si="3"/>
        <v>44</v>
      </c>
      <c r="D38" s="39">
        <v>37</v>
      </c>
      <c r="E38" s="39">
        <v>19</v>
      </c>
      <c r="F38" s="39">
        <v>50</v>
      </c>
      <c r="G38" s="39">
        <v>56</v>
      </c>
      <c r="H38" s="39">
        <v>41</v>
      </c>
      <c r="I38" s="39">
        <v>75</v>
      </c>
      <c r="J38" s="39">
        <v>16</v>
      </c>
      <c r="K38" s="39">
        <v>62</v>
      </c>
      <c r="L38" s="39">
        <v>24</v>
      </c>
      <c r="M38" s="39">
        <v>66</v>
      </c>
      <c r="N38" s="23">
        <v>28</v>
      </c>
      <c r="O38" s="37">
        <v>17</v>
      </c>
      <c r="P38" s="37">
        <v>40</v>
      </c>
      <c r="Q38" s="37">
        <v>55</v>
      </c>
      <c r="R38" s="37">
        <v>32</v>
      </c>
      <c r="S38" s="37">
        <v>61</v>
      </c>
      <c r="T38" s="37">
        <v>13</v>
      </c>
      <c r="U38" s="37">
        <v>54</v>
      </c>
      <c r="V38" s="37">
        <v>24</v>
      </c>
      <c r="W38" s="37">
        <v>52</v>
      </c>
      <c r="X38" s="23">
        <v>43</v>
      </c>
      <c r="Y38" s="37">
        <v>44</v>
      </c>
      <c r="Z38" s="37">
        <v>79</v>
      </c>
      <c r="AA38" s="37">
        <v>72</v>
      </c>
      <c r="AB38" s="37">
        <v>57</v>
      </c>
      <c r="AC38" s="37">
        <v>80</v>
      </c>
      <c r="AD38" s="37">
        <v>48</v>
      </c>
      <c r="AE38" s="37">
        <v>85</v>
      </c>
      <c r="AF38" s="37">
        <v>49</v>
      </c>
      <c r="AG38" s="37">
        <v>69</v>
      </c>
      <c r="AH38" s="23">
        <v>68</v>
      </c>
      <c r="AI38" s="37">
        <v>46</v>
      </c>
      <c r="AJ38" s="37">
        <v>75</v>
      </c>
      <c r="AK38" s="37">
        <v>87</v>
      </c>
      <c r="AL38" s="37">
        <v>66</v>
      </c>
      <c r="AM38" s="37">
        <v>88</v>
      </c>
      <c r="AN38" s="37">
        <v>46</v>
      </c>
      <c r="AO38" s="37">
        <v>87</v>
      </c>
      <c r="AP38" s="37">
        <v>58</v>
      </c>
      <c r="AQ38" s="37">
        <v>81</v>
      </c>
    </row>
    <row r="39" spans="1:43" x14ac:dyDescent="0.25">
      <c r="A39" s="3">
        <v>6</v>
      </c>
      <c r="B39" s="38" t="s">
        <v>19</v>
      </c>
      <c r="C39" s="23">
        <f t="shared" ref="C39" si="4">AVERAGE(D39,N39,X39,AH39)</f>
        <v>42.25</v>
      </c>
      <c r="D39" s="39">
        <v>33</v>
      </c>
      <c r="E39" s="39">
        <v>16</v>
      </c>
      <c r="F39" s="39">
        <v>47</v>
      </c>
      <c r="G39" s="39">
        <v>60</v>
      </c>
      <c r="H39" s="39">
        <v>39</v>
      </c>
      <c r="I39" s="39">
        <v>78</v>
      </c>
      <c r="J39" s="39">
        <v>17</v>
      </c>
      <c r="K39" s="39">
        <v>64</v>
      </c>
      <c r="L39" s="39">
        <v>22</v>
      </c>
      <c r="M39" s="39">
        <v>66</v>
      </c>
      <c r="N39" s="23">
        <v>31</v>
      </c>
      <c r="O39" s="37">
        <v>17</v>
      </c>
      <c r="P39" s="37">
        <v>44</v>
      </c>
      <c r="Q39" s="37">
        <v>61</v>
      </c>
      <c r="R39" s="37">
        <v>31</v>
      </c>
      <c r="S39" s="37">
        <v>67</v>
      </c>
      <c r="T39" s="37">
        <v>10</v>
      </c>
      <c r="U39" s="37">
        <v>61</v>
      </c>
      <c r="V39" s="37">
        <v>21</v>
      </c>
      <c r="W39" s="37">
        <v>53</v>
      </c>
      <c r="X39" s="23">
        <v>42</v>
      </c>
      <c r="Y39" s="37">
        <v>44</v>
      </c>
      <c r="Z39" s="37">
        <v>78</v>
      </c>
      <c r="AA39" s="37">
        <v>73</v>
      </c>
      <c r="AB39" s="37">
        <v>57</v>
      </c>
      <c r="AC39" s="37">
        <v>82</v>
      </c>
      <c r="AD39" s="37">
        <v>49</v>
      </c>
      <c r="AE39" s="37">
        <v>87</v>
      </c>
      <c r="AF39" s="37">
        <v>44</v>
      </c>
      <c r="AG39" s="37">
        <v>70</v>
      </c>
      <c r="AH39" s="23">
        <v>63</v>
      </c>
      <c r="AI39" s="37">
        <v>45</v>
      </c>
      <c r="AJ39" s="37">
        <v>69</v>
      </c>
      <c r="AK39" s="37">
        <v>89</v>
      </c>
      <c r="AL39" s="37">
        <v>64</v>
      </c>
      <c r="AM39" s="37">
        <v>88</v>
      </c>
      <c r="AN39" s="37">
        <v>50</v>
      </c>
      <c r="AO39" s="37">
        <v>87</v>
      </c>
      <c r="AP39" s="37">
        <v>58</v>
      </c>
      <c r="AQ39" s="37">
        <v>79</v>
      </c>
    </row>
    <row r="43" spans="1:43" x14ac:dyDescent="0.25">
      <c r="B43" s="38" t="s">
        <v>36</v>
      </c>
    </row>
    <row r="44" spans="1:43" x14ac:dyDescent="0.25">
      <c r="B44" s="47" t="s">
        <v>33</v>
      </c>
      <c r="C44" s="47">
        <v>12</v>
      </c>
    </row>
    <row r="45" spans="1:43" ht="15.75" thickBot="1" x14ac:dyDescent="0.3">
      <c r="B45" s="46" t="s">
        <v>34</v>
      </c>
      <c r="C45" s="46">
        <v>-12</v>
      </c>
    </row>
    <row r="46" spans="1:43" x14ac:dyDescent="0.25">
      <c r="B46" s="40" t="s">
        <v>32</v>
      </c>
      <c r="C46" s="40"/>
      <c r="D46" s="60" t="s">
        <v>11</v>
      </c>
      <c r="E46" s="61"/>
      <c r="F46" s="61"/>
      <c r="G46" s="61"/>
      <c r="H46" s="61"/>
      <c r="I46" s="61"/>
      <c r="J46" s="61"/>
      <c r="K46" s="61"/>
      <c r="L46" s="61"/>
      <c r="M46" s="62"/>
      <c r="N46" s="55" t="s">
        <v>12</v>
      </c>
      <c r="O46" s="56"/>
      <c r="P46" s="56"/>
      <c r="Q46" s="56"/>
      <c r="R46" s="56"/>
      <c r="S46" s="56"/>
      <c r="T46" s="56"/>
      <c r="U46" s="56"/>
      <c r="V46" s="56"/>
      <c r="W46" s="57"/>
      <c r="X46" s="49" t="s">
        <v>13</v>
      </c>
      <c r="Y46" s="50"/>
      <c r="Z46" s="50"/>
      <c r="AA46" s="50"/>
      <c r="AB46" s="50"/>
      <c r="AC46" s="50"/>
      <c r="AD46" s="50"/>
      <c r="AE46" s="50"/>
      <c r="AF46" s="50"/>
      <c r="AG46" s="51"/>
      <c r="AH46" s="65" t="s">
        <v>22</v>
      </c>
      <c r="AI46" s="66"/>
      <c r="AJ46" s="66"/>
      <c r="AK46" s="66"/>
      <c r="AL46" s="66"/>
      <c r="AM46" s="66"/>
      <c r="AN46" s="66"/>
      <c r="AO46" s="66"/>
      <c r="AP46" s="66"/>
      <c r="AQ46" s="67"/>
    </row>
    <row r="47" spans="1:43" ht="45" x14ac:dyDescent="0.25">
      <c r="B47" s="1" t="s">
        <v>0</v>
      </c>
      <c r="C47" s="24" t="s">
        <v>23</v>
      </c>
      <c r="D47" s="63" t="s">
        <v>1</v>
      </c>
      <c r="E47" s="22" t="s">
        <v>2</v>
      </c>
      <c r="F47" s="22" t="s">
        <v>3</v>
      </c>
      <c r="G47" s="22" t="s">
        <v>4</v>
      </c>
      <c r="H47" s="22" t="s">
        <v>5</v>
      </c>
      <c r="I47" s="22" t="s">
        <v>9</v>
      </c>
      <c r="J47" s="22" t="s">
        <v>8</v>
      </c>
      <c r="K47" s="22" t="s">
        <v>7</v>
      </c>
      <c r="L47" s="22" t="s">
        <v>6</v>
      </c>
      <c r="M47" s="64" t="s">
        <v>10</v>
      </c>
      <c r="N47" s="58" t="s">
        <v>1</v>
      </c>
      <c r="O47" s="21" t="s">
        <v>2</v>
      </c>
      <c r="P47" s="21" t="s">
        <v>3</v>
      </c>
      <c r="Q47" s="21" t="s">
        <v>4</v>
      </c>
      <c r="R47" s="21" t="s">
        <v>5</v>
      </c>
      <c r="S47" s="21" t="s">
        <v>9</v>
      </c>
      <c r="T47" s="21" t="s">
        <v>8</v>
      </c>
      <c r="U47" s="21" t="s">
        <v>7</v>
      </c>
      <c r="V47" s="21" t="s">
        <v>6</v>
      </c>
      <c r="W47" s="59" t="s">
        <v>10</v>
      </c>
      <c r="X47" s="52" t="s">
        <v>1</v>
      </c>
      <c r="Y47" s="20" t="s">
        <v>2</v>
      </c>
      <c r="Z47" s="20" t="s">
        <v>3</v>
      </c>
      <c r="AA47" s="20" t="s">
        <v>4</v>
      </c>
      <c r="AB47" s="20" t="s">
        <v>5</v>
      </c>
      <c r="AC47" s="20" t="s">
        <v>9</v>
      </c>
      <c r="AD47" s="20" t="s">
        <v>8</v>
      </c>
      <c r="AE47" s="20" t="s">
        <v>7</v>
      </c>
      <c r="AF47" s="20" t="s">
        <v>6</v>
      </c>
      <c r="AG47" s="53" t="s">
        <v>10</v>
      </c>
      <c r="AH47" s="68" t="s">
        <v>1</v>
      </c>
      <c r="AI47" s="19" t="s">
        <v>2</v>
      </c>
      <c r="AJ47" s="19" t="s">
        <v>3</v>
      </c>
      <c r="AK47" s="19" t="s">
        <v>4</v>
      </c>
      <c r="AL47" s="19" t="s">
        <v>5</v>
      </c>
      <c r="AM47" s="19" t="s">
        <v>9</v>
      </c>
      <c r="AN47" s="19" t="s">
        <v>8</v>
      </c>
      <c r="AO47" s="19" t="s">
        <v>7</v>
      </c>
      <c r="AP47" s="19" t="s">
        <v>6</v>
      </c>
      <c r="AQ47" s="69" t="s">
        <v>10</v>
      </c>
    </row>
    <row r="48" spans="1:43" x14ac:dyDescent="0.25">
      <c r="B48" s="4" t="s">
        <v>16</v>
      </c>
      <c r="C48" s="71">
        <f>C19-C3</f>
        <v>3</v>
      </c>
      <c r="D48" s="70">
        <f t="shared" ref="D48" si="5">D19-D3</f>
        <v>2</v>
      </c>
      <c r="E48" s="70">
        <f t="shared" ref="E48:AQ48" si="6">E19-E3</f>
        <v>1</v>
      </c>
      <c r="F48" s="70">
        <f t="shared" si="6"/>
        <v>0</v>
      </c>
      <c r="G48" s="70">
        <f t="shared" si="6"/>
        <v>-4</v>
      </c>
      <c r="H48" s="70">
        <f t="shared" si="6"/>
        <v>-2</v>
      </c>
      <c r="I48" s="70">
        <f t="shared" si="6"/>
        <v>4</v>
      </c>
      <c r="J48" s="70">
        <f t="shared" si="6"/>
        <v>0</v>
      </c>
      <c r="K48" s="70">
        <f t="shared" si="6"/>
        <v>6</v>
      </c>
      <c r="L48" s="70">
        <f t="shared" si="6"/>
        <v>1</v>
      </c>
      <c r="M48" s="70">
        <f t="shared" si="6"/>
        <v>0</v>
      </c>
      <c r="N48" s="70">
        <f t="shared" si="6"/>
        <v>3</v>
      </c>
      <c r="O48" s="70">
        <f t="shared" si="6"/>
        <v>4</v>
      </c>
      <c r="P48" s="70">
        <f t="shared" si="6"/>
        <v>6</v>
      </c>
      <c r="Q48" s="70">
        <f t="shared" si="6"/>
        <v>-2</v>
      </c>
      <c r="R48" s="70">
        <f t="shared" si="6"/>
        <v>2</v>
      </c>
      <c r="S48" s="70">
        <f t="shared" si="6"/>
        <v>1</v>
      </c>
      <c r="T48" s="70">
        <f t="shared" si="6"/>
        <v>4</v>
      </c>
      <c r="U48" s="70">
        <f t="shared" si="6"/>
        <v>4</v>
      </c>
      <c r="V48" s="70">
        <f t="shared" si="6"/>
        <v>3</v>
      </c>
      <c r="W48" s="70">
        <f t="shared" si="6"/>
        <v>6</v>
      </c>
      <c r="X48" s="70">
        <f t="shared" si="6"/>
        <v>-6</v>
      </c>
      <c r="Y48" s="70">
        <f t="shared" si="6"/>
        <v>-5</v>
      </c>
      <c r="Z48" s="70">
        <f t="shared" si="6"/>
        <v>1</v>
      </c>
      <c r="AA48" s="70">
        <f t="shared" si="6"/>
        <v>-9</v>
      </c>
      <c r="AB48" s="70">
        <f t="shared" si="6"/>
        <v>-6</v>
      </c>
      <c r="AC48" s="70">
        <f t="shared" si="6"/>
        <v>-6</v>
      </c>
      <c r="AD48" s="70">
        <f t="shared" si="6"/>
        <v>-2</v>
      </c>
      <c r="AE48" s="70">
        <f t="shared" si="6"/>
        <v>0</v>
      </c>
      <c r="AF48" s="70">
        <f t="shared" si="6"/>
        <v>-7</v>
      </c>
      <c r="AG48" s="70">
        <f t="shared" si="6"/>
        <v>-5</v>
      </c>
      <c r="AH48" s="70">
        <f t="shared" si="6"/>
        <v>13</v>
      </c>
      <c r="AI48" s="70">
        <f t="shared" si="6"/>
        <v>9</v>
      </c>
      <c r="AJ48" s="70">
        <f t="shared" si="6"/>
        <v>11</v>
      </c>
      <c r="AK48" s="70">
        <f t="shared" si="6"/>
        <v>4</v>
      </c>
      <c r="AL48" s="70">
        <f t="shared" si="6"/>
        <v>7</v>
      </c>
      <c r="AM48" s="70">
        <f t="shared" si="6"/>
        <v>3</v>
      </c>
      <c r="AN48" s="70">
        <f t="shared" si="6"/>
        <v>9</v>
      </c>
      <c r="AO48" s="70">
        <f t="shared" si="6"/>
        <v>5</v>
      </c>
      <c r="AP48" s="70">
        <f t="shared" si="6"/>
        <v>2</v>
      </c>
      <c r="AQ48" s="70">
        <f t="shared" si="6"/>
        <v>5</v>
      </c>
    </row>
    <row r="49" spans="2:43" x14ac:dyDescent="0.25">
      <c r="B49" s="4" t="s">
        <v>15</v>
      </c>
      <c r="C49" s="71">
        <f t="shared" ref="C49:D55" si="7">C20-C4</f>
        <v>4.75</v>
      </c>
      <c r="D49" s="70">
        <f t="shared" si="7"/>
        <v>5</v>
      </c>
      <c r="E49" s="70">
        <f t="shared" ref="E49:AQ49" si="8">E20-E4</f>
        <v>3</v>
      </c>
      <c r="F49" s="70">
        <f t="shared" si="8"/>
        <v>4</v>
      </c>
      <c r="G49" s="70">
        <f t="shared" si="8"/>
        <v>-2</v>
      </c>
      <c r="H49" s="70">
        <f t="shared" si="8"/>
        <v>-1</v>
      </c>
      <c r="I49" s="70">
        <f t="shared" si="8"/>
        <v>-2</v>
      </c>
      <c r="J49" s="70">
        <f t="shared" si="8"/>
        <v>6</v>
      </c>
      <c r="K49" s="70">
        <f t="shared" si="8"/>
        <v>11</v>
      </c>
      <c r="L49" s="70">
        <f t="shared" si="8"/>
        <v>4</v>
      </c>
      <c r="M49" s="70">
        <f t="shared" si="8"/>
        <v>7</v>
      </c>
      <c r="N49" s="70">
        <f t="shared" si="8"/>
        <v>5</v>
      </c>
      <c r="O49" s="70">
        <f t="shared" si="8"/>
        <v>5</v>
      </c>
      <c r="P49" s="70">
        <f t="shared" si="8"/>
        <v>5</v>
      </c>
      <c r="Q49" s="70">
        <f t="shared" si="8"/>
        <v>-2</v>
      </c>
      <c r="R49" s="70">
        <f t="shared" si="8"/>
        <v>5</v>
      </c>
      <c r="S49" s="70">
        <f t="shared" si="8"/>
        <v>7</v>
      </c>
      <c r="T49" s="70">
        <f t="shared" si="8"/>
        <v>2</v>
      </c>
      <c r="U49" s="70">
        <f t="shared" si="8"/>
        <v>6</v>
      </c>
      <c r="V49" s="70">
        <f t="shared" si="8"/>
        <v>4</v>
      </c>
      <c r="W49" s="70">
        <f t="shared" si="8"/>
        <v>11</v>
      </c>
      <c r="X49" s="70">
        <f t="shared" si="8"/>
        <v>-2</v>
      </c>
      <c r="Y49" s="70">
        <f t="shared" si="8"/>
        <v>0</v>
      </c>
      <c r="Z49" s="70">
        <f t="shared" si="8"/>
        <v>0</v>
      </c>
      <c r="AA49" s="70">
        <f t="shared" si="8"/>
        <v>1</v>
      </c>
      <c r="AB49" s="70">
        <f t="shared" si="8"/>
        <v>-1</v>
      </c>
      <c r="AC49" s="70">
        <f t="shared" si="8"/>
        <v>-3</v>
      </c>
      <c r="AD49" s="70">
        <f t="shared" si="8"/>
        <v>3</v>
      </c>
      <c r="AE49" s="70">
        <f t="shared" si="8"/>
        <v>6</v>
      </c>
      <c r="AF49" s="70">
        <f t="shared" si="8"/>
        <v>-4</v>
      </c>
      <c r="AG49" s="70">
        <f t="shared" si="8"/>
        <v>-4</v>
      </c>
      <c r="AH49" s="70">
        <f t="shared" si="8"/>
        <v>11</v>
      </c>
      <c r="AI49" s="70">
        <f t="shared" si="8"/>
        <v>7</v>
      </c>
      <c r="AJ49" s="70">
        <f t="shared" si="8"/>
        <v>8</v>
      </c>
      <c r="AK49" s="70">
        <f t="shared" si="8"/>
        <v>0</v>
      </c>
      <c r="AL49" s="70">
        <f t="shared" si="8"/>
        <v>8</v>
      </c>
      <c r="AM49" s="70">
        <f t="shared" si="8"/>
        <v>-4</v>
      </c>
      <c r="AN49" s="70">
        <f t="shared" si="8"/>
        <v>5</v>
      </c>
      <c r="AO49" s="70">
        <f t="shared" si="8"/>
        <v>5</v>
      </c>
      <c r="AP49" s="70">
        <f t="shared" si="8"/>
        <v>2</v>
      </c>
      <c r="AQ49" s="70">
        <f t="shared" si="8"/>
        <v>6</v>
      </c>
    </row>
    <row r="50" spans="2:43" x14ac:dyDescent="0.25">
      <c r="B50" s="4" t="s">
        <v>17</v>
      </c>
      <c r="C50" s="71">
        <f t="shared" si="7"/>
        <v>8.5</v>
      </c>
      <c r="D50" s="70">
        <f t="shared" si="7"/>
        <v>10</v>
      </c>
      <c r="E50" s="70">
        <f t="shared" ref="E50:AQ50" si="9">E21-E5</f>
        <v>5</v>
      </c>
      <c r="F50" s="70">
        <f t="shared" si="9"/>
        <v>11</v>
      </c>
      <c r="G50" s="70">
        <f t="shared" si="9"/>
        <v>4</v>
      </c>
      <c r="H50" s="70">
        <f t="shared" si="9"/>
        <v>6</v>
      </c>
      <c r="I50" s="70">
        <f t="shared" si="9"/>
        <v>2</v>
      </c>
      <c r="J50" s="70">
        <f t="shared" si="9"/>
        <v>11</v>
      </c>
      <c r="K50" s="70">
        <f t="shared" si="9"/>
        <v>6</v>
      </c>
      <c r="L50" s="70">
        <f t="shared" si="9"/>
        <v>6</v>
      </c>
      <c r="M50" s="70">
        <f t="shared" si="9"/>
        <v>11</v>
      </c>
      <c r="N50" s="70">
        <f t="shared" si="9"/>
        <v>9</v>
      </c>
      <c r="O50" s="70">
        <f t="shared" si="9"/>
        <v>9</v>
      </c>
      <c r="P50" s="70">
        <f t="shared" si="9"/>
        <v>7</v>
      </c>
      <c r="Q50" s="70">
        <f t="shared" si="9"/>
        <v>4</v>
      </c>
      <c r="R50" s="70">
        <f t="shared" si="9"/>
        <v>10</v>
      </c>
      <c r="S50" s="70">
        <f t="shared" si="9"/>
        <v>8</v>
      </c>
      <c r="T50" s="70">
        <f t="shared" si="9"/>
        <v>8</v>
      </c>
      <c r="U50" s="70">
        <f t="shared" si="9"/>
        <v>7</v>
      </c>
      <c r="V50" s="70">
        <f t="shared" si="9"/>
        <v>3</v>
      </c>
      <c r="W50" s="70">
        <f t="shared" si="9"/>
        <v>8</v>
      </c>
      <c r="X50" s="70">
        <f t="shared" si="9"/>
        <v>-1</v>
      </c>
      <c r="Y50" s="70">
        <f t="shared" si="9"/>
        <v>-1</v>
      </c>
      <c r="Z50" s="70">
        <f t="shared" si="9"/>
        <v>2</v>
      </c>
      <c r="AA50" s="70">
        <f t="shared" si="9"/>
        <v>-5</v>
      </c>
      <c r="AB50" s="70">
        <f t="shared" si="9"/>
        <v>2</v>
      </c>
      <c r="AC50" s="70">
        <f t="shared" si="9"/>
        <v>-1</v>
      </c>
      <c r="AD50" s="70">
        <f t="shared" si="9"/>
        <v>1</v>
      </c>
      <c r="AE50" s="70">
        <f t="shared" si="9"/>
        <v>-2</v>
      </c>
      <c r="AF50" s="70">
        <f t="shared" si="9"/>
        <v>-2</v>
      </c>
      <c r="AG50" s="70">
        <f t="shared" si="9"/>
        <v>-9</v>
      </c>
      <c r="AH50" s="70">
        <f t="shared" si="9"/>
        <v>16</v>
      </c>
      <c r="AI50" s="70">
        <f t="shared" si="9"/>
        <v>16</v>
      </c>
      <c r="AJ50" s="70">
        <f t="shared" si="9"/>
        <v>12</v>
      </c>
      <c r="AK50" s="70">
        <f t="shared" si="9"/>
        <v>4</v>
      </c>
      <c r="AL50" s="70">
        <f t="shared" si="9"/>
        <v>8</v>
      </c>
      <c r="AM50" s="70">
        <f t="shared" si="9"/>
        <v>-1</v>
      </c>
      <c r="AN50" s="70">
        <f t="shared" si="9"/>
        <v>16</v>
      </c>
      <c r="AO50" s="70">
        <f t="shared" si="9"/>
        <v>7</v>
      </c>
      <c r="AP50" s="70">
        <f t="shared" si="9"/>
        <v>13</v>
      </c>
      <c r="AQ50" s="70">
        <f t="shared" si="9"/>
        <v>10</v>
      </c>
    </row>
    <row r="51" spans="2:43" x14ac:dyDescent="0.25">
      <c r="B51" s="4" t="s">
        <v>18</v>
      </c>
      <c r="C51" s="71">
        <f t="shared" si="7"/>
        <v>6.75</v>
      </c>
      <c r="D51" s="70">
        <f t="shared" si="7"/>
        <v>-2</v>
      </c>
      <c r="E51" s="70">
        <f t="shared" ref="E51:AQ51" si="10">E22-E6</f>
        <v>-3</v>
      </c>
      <c r="F51" s="70">
        <f t="shared" si="10"/>
        <v>2</v>
      </c>
      <c r="G51" s="70">
        <f t="shared" si="10"/>
        <v>-1</v>
      </c>
      <c r="H51" s="70">
        <f t="shared" si="10"/>
        <v>-2</v>
      </c>
      <c r="I51" s="70">
        <f t="shared" si="10"/>
        <v>-4</v>
      </c>
      <c r="J51" s="70">
        <f t="shared" si="10"/>
        <v>-1</v>
      </c>
      <c r="K51" s="70">
        <f t="shared" si="10"/>
        <v>8</v>
      </c>
      <c r="L51" s="70">
        <f t="shared" si="10"/>
        <v>1</v>
      </c>
      <c r="M51" s="70">
        <f t="shared" si="10"/>
        <v>4</v>
      </c>
      <c r="N51" s="70">
        <f t="shared" si="10"/>
        <v>7</v>
      </c>
      <c r="O51" s="70">
        <f t="shared" si="10"/>
        <v>4</v>
      </c>
      <c r="P51" s="70">
        <f t="shared" si="10"/>
        <v>4</v>
      </c>
      <c r="Q51" s="70">
        <f t="shared" si="10"/>
        <v>-3</v>
      </c>
      <c r="R51" s="70">
        <f t="shared" si="10"/>
        <v>7</v>
      </c>
      <c r="S51" s="70">
        <f t="shared" si="10"/>
        <v>8</v>
      </c>
      <c r="T51" s="70">
        <f t="shared" si="10"/>
        <v>7</v>
      </c>
      <c r="U51" s="70">
        <f t="shared" si="10"/>
        <v>9</v>
      </c>
      <c r="V51" s="70">
        <f t="shared" si="10"/>
        <v>3</v>
      </c>
      <c r="W51" s="70">
        <f t="shared" si="10"/>
        <v>-5</v>
      </c>
      <c r="X51" s="70">
        <f t="shared" si="10"/>
        <v>1</v>
      </c>
      <c r="Y51" s="70">
        <f t="shared" si="10"/>
        <v>2</v>
      </c>
      <c r="Z51" s="70">
        <f t="shared" si="10"/>
        <v>2</v>
      </c>
      <c r="AA51" s="70">
        <f t="shared" si="10"/>
        <v>-2</v>
      </c>
      <c r="AB51" s="70">
        <f t="shared" si="10"/>
        <v>0</v>
      </c>
      <c r="AC51" s="70">
        <f t="shared" si="10"/>
        <v>2</v>
      </c>
      <c r="AD51" s="70">
        <f t="shared" si="10"/>
        <v>3</v>
      </c>
      <c r="AE51" s="70">
        <f t="shared" si="10"/>
        <v>5</v>
      </c>
      <c r="AF51" s="70">
        <f t="shared" si="10"/>
        <v>1</v>
      </c>
      <c r="AG51" s="70">
        <f t="shared" si="10"/>
        <v>1</v>
      </c>
      <c r="AH51" s="70">
        <f t="shared" si="10"/>
        <v>21</v>
      </c>
      <c r="AI51" s="70">
        <f t="shared" si="10"/>
        <v>16</v>
      </c>
      <c r="AJ51" s="70">
        <f t="shared" si="10"/>
        <v>15</v>
      </c>
      <c r="AK51" s="70">
        <f t="shared" si="10"/>
        <v>3</v>
      </c>
      <c r="AL51" s="70">
        <f t="shared" si="10"/>
        <v>10</v>
      </c>
      <c r="AM51" s="70">
        <f t="shared" si="10"/>
        <v>-5</v>
      </c>
      <c r="AN51" s="70">
        <f t="shared" si="10"/>
        <v>15</v>
      </c>
      <c r="AO51" s="70">
        <f t="shared" si="10"/>
        <v>8</v>
      </c>
      <c r="AP51" s="70">
        <f t="shared" si="10"/>
        <v>7</v>
      </c>
      <c r="AQ51" s="70">
        <f t="shared" si="10"/>
        <v>9</v>
      </c>
    </row>
    <row r="52" spans="2:43" x14ac:dyDescent="0.25">
      <c r="B52" s="4" t="s">
        <v>14</v>
      </c>
      <c r="C52" s="71">
        <f t="shared" si="7"/>
        <v>8.5</v>
      </c>
      <c r="D52" s="70">
        <f t="shared" si="7"/>
        <v>3</v>
      </c>
      <c r="E52" s="70">
        <f t="shared" ref="E52:AQ52" si="11">E23-E7</f>
        <v>-1</v>
      </c>
      <c r="F52" s="70">
        <f t="shared" si="11"/>
        <v>6</v>
      </c>
      <c r="G52" s="70">
        <f t="shared" si="11"/>
        <v>4</v>
      </c>
      <c r="H52" s="70">
        <f t="shared" si="11"/>
        <v>1</v>
      </c>
      <c r="I52" s="70">
        <f t="shared" si="11"/>
        <v>0</v>
      </c>
      <c r="J52" s="70">
        <f t="shared" si="11"/>
        <v>6</v>
      </c>
      <c r="K52" s="70">
        <f t="shared" si="11"/>
        <v>11</v>
      </c>
      <c r="L52" s="70">
        <f t="shared" si="11"/>
        <v>-3</v>
      </c>
      <c r="M52" s="70">
        <f t="shared" si="11"/>
        <v>9</v>
      </c>
      <c r="N52" s="70">
        <f t="shared" si="11"/>
        <v>12</v>
      </c>
      <c r="O52" s="70">
        <f t="shared" si="11"/>
        <v>10</v>
      </c>
      <c r="P52" s="70">
        <f t="shared" si="11"/>
        <v>4</v>
      </c>
      <c r="Q52" s="70">
        <f t="shared" si="11"/>
        <v>1</v>
      </c>
      <c r="R52" s="70">
        <f t="shared" si="11"/>
        <v>5</v>
      </c>
      <c r="S52" s="70">
        <f t="shared" si="11"/>
        <v>5</v>
      </c>
      <c r="T52" s="70">
        <f t="shared" si="11"/>
        <v>5</v>
      </c>
      <c r="U52" s="70">
        <f t="shared" si="11"/>
        <v>0</v>
      </c>
      <c r="V52" s="70">
        <f t="shared" si="11"/>
        <v>4</v>
      </c>
      <c r="W52" s="70">
        <f t="shared" si="11"/>
        <v>-4</v>
      </c>
      <c r="X52" s="70">
        <f t="shared" si="11"/>
        <v>0</v>
      </c>
      <c r="Y52" s="70">
        <f t="shared" si="11"/>
        <v>3</v>
      </c>
      <c r="Z52" s="70">
        <f t="shared" si="11"/>
        <v>0</v>
      </c>
      <c r="AA52" s="70">
        <f t="shared" si="11"/>
        <v>-4</v>
      </c>
      <c r="AB52" s="70">
        <f t="shared" si="11"/>
        <v>0</v>
      </c>
      <c r="AC52" s="70">
        <f t="shared" si="11"/>
        <v>-8</v>
      </c>
      <c r="AD52" s="70">
        <f t="shared" si="11"/>
        <v>-5</v>
      </c>
      <c r="AE52" s="70">
        <f t="shared" si="11"/>
        <v>1</v>
      </c>
      <c r="AF52" s="70">
        <f t="shared" si="11"/>
        <v>-9</v>
      </c>
      <c r="AG52" s="70">
        <f t="shared" si="11"/>
        <v>-4</v>
      </c>
      <c r="AH52" s="70">
        <f t="shared" si="11"/>
        <v>19</v>
      </c>
      <c r="AI52" s="70">
        <f t="shared" si="11"/>
        <v>17</v>
      </c>
      <c r="AJ52" s="70">
        <f t="shared" si="11"/>
        <v>12</v>
      </c>
      <c r="AK52" s="70">
        <f t="shared" si="11"/>
        <v>3</v>
      </c>
      <c r="AL52" s="70">
        <f t="shared" si="11"/>
        <v>4</v>
      </c>
      <c r="AM52" s="70">
        <f t="shared" si="11"/>
        <v>-1</v>
      </c>
      <c r="AN52" s="70">
        <f t="shared" si="11"/>
        <v>11</v>
      </c>
      <c r="AO52" s="70">
        <f t="shared" si="11"/>
        <v>6</v>
      </c>
      <c r="AP52" s="70">
        <f t="shared" si="11"/>
        <v>1</v>
      </c>
      <c r="AQ52" s="70">
        <f t="shared" si="11"/>
        <v>7</v>
      </c>
    </row>
    <row r="53" spans="2:43" x14ac:dyDescent="0.25">
      <c r="B53" s="4" t="s">
        <v>20</v>
      </c>
      <c r="C53" s="71">
        <f t="shared" si="7"/>
        <v>7.5</v>
      </c>
      <c r="D53" s="70">
        <f t="shared" si="7"/>
        <v>3</v>
      </c>
      <c r="E53" s="70">
        <f t="shared" ref="E53:AQ53" si="12">E24-E8</f>
        <v>0</v>
      </c>
      <c r="F53" s="70">
        <f t="shared" si="12"/>
        <v>3</v>
      </c>
      <c r="G53" s="70">
        <f t="shared" si="12"/>
        <v>-3</v>
      </c>
      <c r="H53" s="70">
        <f t="shared" si="12"/>
        <v>0</v>
      </c>
      <c r="I53" s="70">
        <f t="shared" si="12"/>
        <v>2</v>
      </c>
      <c r="J53" s="70">
        <f t="shared" si="12"/>
        <v>2</v>
      </c>
      <c r="K53" s="70">
        <f t="shared" si="12"/>
        <v>3</v>
      </c>
      <c r="L53" s="70">
        <f t="shared" si="12"/>
        <v>3</v>
      </c>
      <c r="M53" s="70">
        <f t="shared" si="12"/>
        <v>2</v>
      </c>
      <c r="N53" s="70">
        <f t="shared" si="12"/>
        <v>9</v>
      </c>
      <c r="O53" s="70">
        <f t="shared" si="12"/>
        <v>8</v>
      </c>
      <c r="P53" s="70">
        <f t="shared" si="12"/>
        <v>8</v>
      </c>
      <c r="Q53" s="70">
        <f t="shared" si="12"/>
        <v>-3</v>
      </c>
      <c r="R53" s="70">
        <f t="shared" si="12"/>
        <v>5</v>
      </c>
      <c r="S53" s="70">
        <f t="shared" si="12"/>
        <v>3</v>
      </c>
      <c r="T53" s="70">
        <f t="shared" si="12"/>
        <v>6</v>
      </c>
      <c r="U53" s="70">
        <f t="shared" si="12"/>
        <v>7</v>
      </c>
      <c r="V53" s="70">
        <f t="shared" si="12"/>
        <v>2</v>
      </c>
      <c r="W53" s="70">
        <f t="shared" si="12"/>
        <v>-4</v>
      </c>
      <c r="X53" s="70">
        <f t="shared" si="12"/>
        <v>-1</v>
      </c>
      <c r="Y53" s="70">
        <f t="shared" si="12"/>
        <v>3</v>
      </c>
      <c r="Z53" s="70">
        <f t="shared" si="12"/>
        <v>3</v>
      </c>
      <c r="AA53" s="70">
        <f t="shared" si="12"/>
        <v>-2</v>
      </c>
      <c r="AB53" s="70">
        <f t="shared" si="12"/>
        <v>9</v>
      </c>
      <c r="AC53" s="70">
        <f t="shared" si="12"/>
        <v>2</v>
      </c>
      <c r="AD53" s="70">
        <f t="shared" si="12"/>
        <v>3</v>
      </c>
      <c r="AE53" s="70">
        <f t="shared" si="12"/>
        <v>5</v>
      </c>
      <c r="AF53" s="70">
        <f t="shared" si="12"/>
        <v>-2</v>
      </c>
      <c r="AG53" s="70">
        <f t="shared" si="12"/>
        <v>2</v>
      </c>
      <c r="AH53" s="70">
        <f t="shared" si="12"/>
        <v>19</v>
      </c>
      <c r="AI53" s="70">
        <f t="shared" si="12"/>
        <v>18</v>
      </c>
      <c r="AJ53" s="70">
        <f t="shared" si="12"/>
        <v>15</v>
      </c>
      <c r="AK53" s="70">
        <f t="shared" si="12"/>
        <v>1</v>
      </c>
      <c r="AL53" s="70">
        <f t="shared" si="12"/>
        <v>11</v>
      </c>
      <c r="AM53" s="70">
        <f t="shared" si="12"/>
        <v>2</v>
      </c>
      <c r="AN53" s="70">
        <f t="shared" si="12"/>
        <v>13</v>
      </c>
      <c r="AO53" s="70">
        <f t="shared" si="12"/>
        <v>7</v>
      </c>
      <c r="AP53" s="70">
        <f t="shared" si="12"/>
        <v>11</v>
      </c>
      <c r="AQ53" s="70">
        <f t="shared" si="12"/>
        <v>8</v>
      </c>
    </row>
    <row r="54" spans="2:43" x14ac:dyDescent="0.25">
      <c r="B54" s="4" t="s">
        <v>21</v>
      </c>
      <c r="C54" s="71">
        <f t="shared" si="7"/>
        <v>6</v>
      </c>
      <c r="D54" s="70">
        <f t="shared" si="7"/>
        <v>9</v>
      </c>
      <c r="E54" s="70">
        <f t="shared" ref="E54:AQ54" si="13">E25-E9</f>
        <v>5</v>
      </c>
      <c r="F54" s="70">
        <f t="shared" si="13"/>
        <v>6</v>
      </c>
      <c r="G54" s="70">
        <f t="shared" si="13"/>
        <v>2</v>
      </c>
      <c r="H54" s="70">
        <f t="shared" si="13"/>
        <v>2</v>
      </c>
      <c r="I54" s="70">
        <f t="shared" si="13"/>
        <v>1</v>
      </c>
      <c r="J54" s="70">
        <f t="shared" si="13"/>
        <v>4</v>
      </c>
      <c r="K54" s="70">
        <f t="shared" si="13"/>
        <v>3</v>
      </c>
      <c r="L54" s="70">
        <f t="shared" si="13"/>
        <v>2</v>
      </c>
      <c r="M54" s="70">
        <f t="shared" si="13"/>
        <v>10</v>
      </c>
      <c r="N54" s="70">
        <f t="shared" si="13"/>
        <v>7</v>
      </c>
      <c r="O54" s="70">
        <f t="shared" si="13"/>
        <v>4</v>
      </c>
      <c r="P54" s="70">
        <f t="shared" si="13"/>
        <v>12</v>
      </c>
      <c r="Q54" s="70">
        <f t="shared" si="13"/>
        <v>2</v>
      </c>
      <c r="R54" s="70">
        <f t="shared" si="13"/>
        <v>4</v>
      </c>
      <c r="S54" s="70">
        <f t="shared" si="13"/>
        <v>12</v>
      </c>
      <c r="T54" s="70">
        <f t="shared" si="13"/>
        <v>8</v>
      </c>
      <c r="U54" s="70">
        <f t="shared" si="13"/>
        <v>6</v>
      </c>
      <c r="V54" s="70">
        <f t="shared" si="13"/>
        <v>9</v>
      </c>
      <c r="W54" s="70">
        <f t="shared" si="13"/>
        <v>7</v>
      </c>
      <c r="X54" s="70">
        <f t="shared" si="13"/>
        <v>-2</v>
      </c>
      <c r="Y54" s="70">
        <f t="shared" si="13"/>
        <v>-2</v>
      </c>
      <c r="Z54" s="70">
        <f t="shared" si="13"/>
        <v>7</v>
      </c>
      <c r="AA54" s="70">
        <f t="shared" si="13"/>
        <v>-4</v>
      </c>
      <c r="AB54" s="70">
        <f t="shared" si="13"/>
        <v>-2</v>
      </c>
      <c r="AC54" s="70">
        <f t="shared" si="13"/>
        <v>3</v>
      </c>
      <c r="AD54" s="70">
        <f t="shared" si="13"/>
        <v>2</v>
      </c>
      <c r="AE54" s="70">
        <f t="shared" si="13"/>
        <v>4</v>
      </c>
      <c r="AF54" s="70">
        <f t="shared" si="13"/>
        <v>-4</v>
      </c>
      <c r="AG54" s="70">
        <f t="shared" si="13"/>
        <v>-4</v>
      </c>
      <c r="AH54" s="70">
        <f t="shared" si="13"/>
        <v>10</v>
      </c>
      <c r="AI54" s="70">
        <f t="shared" si="13"/>
        <v>6</v>
      </c>
      <c r="AJ54" s="70">
        <f t="shared" si="13"/>
        <v>11</v>
      </c>
      <c r="AK54" s="70">
        <f t="shared" si="13"/>
        <v>0</v>
      </c>
      <c r="AL54" s="70">
        <f t="shared" si="13"/>
        <v>8</v>
      </c>
      <c r="AM54" s="70">
        <f t="shared" si="13"/>
        <v>2</v>
      </c>
      <c r="AN54" s="70">
        <f t="shared" si="13"/>
        <v>8</v>
      </c>
      <c r="AO54" s="70">
        <f t="shared" si="13"/>
        <v>1</v>
      </c>
      <c r="AP54" s="70">
        <f t="shared" si="13"/>
        <v>-3</v>
      </c>
      <c r="AQ54" s="70">
        <f t="shared" si="13"/>
        <v>9</v>
      </c>
    </row>
    <row r="55" spans="2:43" x14ac:dyDescent="0.25">
      <c r="B55" s="4" t="s">
        <v>19</v>
      </c>
      <c r="C55" s="71">
        <f t="shared" si="7"/>
        <v>1.75</v>
      </c>
      <c r="D55" s="70">
        <f t="shared" si="7"/>
        <v>1</v>
      </c>
      <c r="E55" s="70">
        <f t="shared" ref="E55:AQ55" si="14">E26-E10</f>
        <v>0</v>
      </c>
      <c r="F55" s="70">
        <f t="shared" si="14"/>
        <v>2</v>
      </c>
      <c r="G55" s="70">
        <f t="shared" si="14"/>
        <v>-1</v>
      </c>
      <c r="H55" s="70">
        <f t="shared" si="14"/>
        <v>3</v>
      </c>
      <c r="I55" s="70">
        <f t="shared" si="14"/>
        <v>-2</v>
      </c>
      <c r="J55" s="70">
        <f t="shared" si="14"/>
        <v>4</v>
      </c>
      <c r="K55" s="70">
        <f t="shared" si="14"/>
        <v>8</v>
      </c>
      <c r="L55" s="70">
        <f t="shared" si="14"/>
        <v>2</v>
      </c>
      <c r="M55" s="70">
        <f t="shared" si="14"/>
        <v>6</v>
      </c>
      <c r="N55" s="70">
        <f t="shared" si="14"/>
        <v>1</v>
      </c>
      <c r="O55" s="70">
        <f t="shared" si="14"/>
        <v>3</v>
      </c>
      <c r="P55" s="70">
        <f t="shared" si="14"/>
        <v>4</v>
      </c>
      <c r="Q55" s="70">
        <f t="shared" si="14"/>
        <v>2</v>
      </c>
      <c r="R55" s="70">
        <f t="shared" si="14"/>
        <v>5</v>
      </c>
      <c r="S55" s="70">
        <f t="shared" si="14"/>
        <v>3</v>
      </c>
      <c r="T55" s="70">
        <f t="shared" si="14"/>
        <v>2</v>
      </c>
      <c r="U55" s="70">
        <f t="shared" si="14"/>
        <v>9</v>
      </c>
      <c r="V55" s="70">
        <f t="shared" si="14"/>
        <v>-1</v>
      </c>
      <c r="W55" s="70">
        <f t="shared" si="14"/>
        <v>3</v>
      </c>
      <c r="X55" s="70">
        <f t="shared" si="14"/>
        <v>-2</v>
      </c>
      <c r="Y55" s="70">
        <f t="shared" si="14"/>
        <v>-1</v>
      </c>
      <c r="Z55" s="70">
        <f t="shared" si="14"/>
        <v>1</v>
      </c>
      <c r="AA55" s="70">
        <f t="shared" si="14"/>
        <v>1</v>
      </c>
      <c r="AB55" s="70">
        <f t="shared" si="14"/>
        <v>4</v>
      </c>
      <c r="AC55" s="70">
        <f t="shared" si="14"/>
        <v>-3</v>
      </c>
      <c r="AD55" s="70">
        <f t="shared" si="14"/>
        <v>5</v>
      </c>
      <c r="AE55" s="70">
        <f t="shared" si="14"/>
        <v>2</v>
      </c>
      <c r="AF55" s="70">
        <f t="shared" si="14"/>
        <v>0</v>
      </c>
      <c r="AG55" s="70">
        <f t="shared" si="14"/>
        <v>4</v>
      </c>
      <c r="AH55" s="70">
        <f t="shared" si="14"/>
        <v>7</v>
      </c>
      <c r="AI55" s="70">
        <f t="shared" si="14"/>
        <v>4</v>
      </c>
      <c r="AJ55" s="70">
        <f t="shared" si="14"/>
        <v>10</v>
      </c>
      <c r="AK55" s="70">
        <f t="shared" si="14"/>
        <v>3</v>
      </c>
      <c r="AL55" s="70">
        <f t="shared" si="14"/>
        <v>5</v>
      </c>
      <c r="AM55" s="70">
        <f t="shared" si="14"/>
        <v>-4</v>
      </c>
      <c r="AN55" s="70">
        <f t="shared" si="14"/>
        <v>7</v>
      </c>
      <c r="AO55" s="70">
        <f t="shared" si="14"/>
        <v>3</v>
      </c>
      <c r="AP55" s="70">
        <f t="shared" si="14"/>
        <v>5</v>
      </c>
      <c r="AQ55" s="70">
        <f t="shared" si="14"/>
        <v>7</v>
      </c>
    </row>
    <row r="59" spans="2:43" x14ac:dyDescent="0.25">
      <c r="B59" s="47" t="s">
        <v>33</v>
      </c>
      <c r="C59" s="47">
        <v>8</v>
      </c>
    </row>
    <row r="60" spans="2:43" ht="15.75" thickBot="1" x14ac:dyDescent="0.3">
      <c r="B60" s="46" t="s">
        <v>34</v>
      </c>
      <c r="C60" s="46">
        <v>-8</v>
      </c>
      <c r="D60" s="4" t="s">
        <v>40</v>
      </c>
      <c r="J60" s="48"/>
      <c r="N60" s="4" t="s">
        <v>37</v>
      </c>
      <c r="X60" s="4" t="s">
        <v>38</v>
      </c>
      <c r="AH60" s="4" t="s">
        <v>39</v>
      </c>
    </row>
    <row r="61" spans="2:43" x14ac:dyDescent="0.25">
      <c r="B61" s="40" t="s">
        <v>35</v>
      </c>
      <c r="C61" s="40"/>
      <c r="D61" s="60" t="s">
        <v>11</v>
      </c>
      <c r="E61" s="61"/>
      <c r="F61" s="61"/>
      <c r="G61" s="61"/>
      <c r="H61" s="61"/>
      <c r="I61" s="61"/>
      <c r="J61" s="61"/>
      <c r="K61" s="61"/>
      <c r="L61" s="61"/>
      <c r="M61" s="62"/>
      <c r="N61" s="55" t="s">
        <v>12</v>
      </c>
      <c r="O61" s="56"/>
      <c r="P61" s="56"/>
      <c r="Q61" s="56"/>
      <c r="R61" s="56"/>
      <c r="S61" s="56"/>
      <c r="T61" s="56"/>
      <c r="U61" s="56"/>
      <c r="V61" s="56"/>
      <c r="W61" s="57"/>
      <c r="X61" s="49" t="s">
        <v>13</v>
      </c>
      <c r="Y61" s="50"/>
      <c r="Z61" s="50"/>
      <c r="AA61" s="50"/>
      <c r="AB61" s="50"/>
      <c r="AC61" s="50"/>
      <c r="AD61" s="50"/>
      <c r="AE61" s="50"/>
      <c r="AF61" s="50"/>
      <c r="AG61" s="51"/>
      <c r="AH61" s="65" t="s">
        <v>22</v>
      </c>
      <c r="AI61" s="66"/>
      <c r="AJ61" s="66"/>
      <c r="AK61" s="66"/>
      <c r="AL61" s="66"/>
      <c r="AM61" s="66"/>
      <c r="AN61" s="66"/>
      <c r="AO61" s="66"/>
      <c r="AP61" s="66"/>
      <c r="AQ61" s="67"/>
    </row>
    <row r="62" spans="2:43" ht="45" x14ac:dyDescent="0.25">
      <c r="B62" s="1" t="s">
        <v>0</v>
      </c>
      <c r="C62" s="24" t="s">
        <v>23</v>
      </c>
      <c r="D62" s="63" t="s">
        <v>1</v>
      </c>
      <c r="E62" s="22" t="s">
        <v>2</v>
      </c>
      <c r="F62" s="22" t="s">
        <v>3</v>
      </c>
      <c r="G62" s="22" t="s">
        <v>4</v>
      </c>
      <c r="H62" s="22" t="s">
        <v>5</v>
      </c>
      <c r="I62" s="22" t="s">
        <v>9</v>
      </c>
      <c r="J62" s="22" t="s">
        <v>8</v>
      </c>
      <c r="K62" s="22" t="s">
        <v>7</v>
      </c>
      <c r="L62" s="22" t="s">
        <v>6</v>
      </c>
      <c r="M62" s="64" t="s">
        <v>10</v>
      </c>
      <c r="N62" s="58" t="s">
        <v>1</v>
      </c>
      <c r="O62" s="21" t="s">
        <v>2</v>
      </c>
      <c r="P62" s="21" t="s">
        <v>3</v>
      </c>
      <c r="Q62" s="21" t="s">
        <v>4</v>
      </c>
      <c r="R62" s="21" t="s">
        <v>5</v>
      </c>
      <c r="S62" s="21" t="s">
        <v>9</v>
      </c>
      <c r="T62" s="21" t="s">
        <v>8</v>
      </c>
      <c r="U62" s="21" t="s">
        <v>7</v>
      </c>
      <c r="V62" s="21" t="s">
        <v>6</v>
      </c>
      <c r="W62" s="59" t="s">
        <v>10</v>
      </c>
      <c r="X62" s="52" t="s">
        <v>1</v>
      </c>
      <c r="Y62" s="20" t="s">
        <v>2</v>
      </c>
      <c r="Z62" s="20" t="s">
        <v>3</v>
      </c>
      <c r="AA62" s="20" t="s">
        <v>4</v>
      </c>
      <c r="AB62" s="20" t="s">
        <v>5</v>
      </c>
      <c r="AC62" s="20" t="s">
        <v>9</v>
      </c>
      <c r="AD62" s="20" t="s">
        <v>8</v>
      </c>
      <c r="AE62" s="20" t="s">
        <v>7</v>
      </c>
      <c r="AF62" s="20" t="s">
        <v>6</v>
      </c>
      <c r="AG62" s="53" t="s">
        <v>10</v>
      </c>
      <c r="AH62" s="68" t="s">
        <v>1</v>
      </c>
      <c r="AI62" s="19" t="s">
        <v>2</v>
      </c>
      <c r="AJ62" s="19" t="s">
        <v>3</v>
      </c>
      <c r="AK62" s="19" t="s">
        <v>4</v>
      </c>
      <c r="AL62" s="19" t="s">
        <v>5</v>
      </c>
      <c r="AM62" s="19" t="s">
        <v>9</v>
      </c>
      <c r="AN62" s="19" t="s">
        <v>8</v>
      </c>
      <c r="AO62" s="19" t="s">
        <v>7</v>
      </c>
      <c r="AP62" s="19" t="s">
        <v>6</v>
      </c>
      <c r="AQ62" s="69" t="s">
        <v>10</v>
      </c>
    </row>
    <row r="63" spans="2:43" x14ac:dyDescent="0.25">
      <c r="B63" s="4" t="s">
        <v>16</v>
      </c>
      <c r="C63" s="23">
        <v>-2.5</v>
      </c>
      <c r="D63" s="54">
        <f>D32-D3</f>
        <v>1</v>
      </c>
      <c r="E63" s="54">
        <f t="shared" ref="E63:AQ69" si="15">E32-E3</f>
        <v>0</v>
      </c>
      <c r="F63" s="54">
        <f t="shared" si="15"/>
        <v>1</v>
      </c>
      <c r="G63" s="54">
        <f t="shared" si="15"/>
        <v>2</v>
      </c>
      <c r="H63" s="54">
        <f t="shared" si="15"/>
        <v>1</v>
      </c>
      <c r="I63" s="54">
        <f t="shared" si="15"/>
        <v>0</v>
      </c>
      <c r="J63" s="54">
        <f t="shared" si="15"/>
        <v>1</v>
      </c>
      <c r="K63" s="54">
        <f t="shared" si="15"/>
        <v>2</v>
      </c>
      <c r="L63" s="54">
        <f t="shared" si="15"/>
        <v>1</v>
      </c>
      <c r="M63" s="54">
        <f t="shared" si="15"/>
        <v>3</v>
      </c>
      <c r="N63" s="54">
        <f t="shared" si="15"/>
        <v>2</v>
      </c>
      <c r="O63" s="54">
        <f t="shared" si="15"/>
        <v>2</v>
      </c>
      <c r="P63" s="54">
        <f t="shared" si="15"/>
        <v>1</v>
      </c>
      <c r="Q63" s="54">
        <f t="shared" si="15"/>
        <v>0</v>
      </c>
      <c r="R63" s="54">
        <f t="shared" si="15"/>
        <v>2</v>
      </c>
      <c r="S63" s="54">
        <f t="shared" si="15"/>
        <v>1</v>
      </c>
      <c r="T63" s="54">
        <f t="shared" si="15"/>
        <v>1</v>
      </c>
      <c r="U63" s="54">
        <f t="shared" si="15"/>
        <v>1</v>
      </c>
      <c r="V63" s="54">
        <f t="shared" si="15"/>
        <v>1</v>
      </c>
      <c r="W63" s="54">
        <f t="shared" si="15"/>
        <v>1</v>
      </c>
      <c r="X63" s="54">
        <f t="shared" si="15"/>
        <v>5</v>
      </c>
      <c r="Y63" s="54">
        <f t="shared" si="15"/>
        <v>7</v>
      </c>
      <c r="Z63" s="54">
        <f t="shared" si="15"/>
        <v>7</v>
      </c>
      <c r="AA63" s="54">
        <f t="shared" si="15"/>
        <v>3</v>
      </c>
      <c r="AB63" s="54">
        <f t="shared" si="15"/>
        <v>4</v>
      </c>
      <c r="AC63" s="54">
        <f t="shared" si="15"/>
        <v>-1</v>
      </c>
      <c r="AD63" s="54">
        <f t="shared" si="15"/>
        <v>7</v>
      </c>
      <c r="AE63" s="54">
        <f t="shared" si="15"/>
        <v>5</v>
      </c>
      <c r="AF63" s="54">
        <f t="shared" si="15"/>
        <v>0</v>
      </c>
      <c r="AG63" s="54">
        <f t="shared" si="15"/>
        <v>3</v>
      </c>
      <c r="AH63" s="54">
        <f t="shared" si="15"/>
        <v>4</v>
      </c>
      <c r="AI63" s="54">
        <f t="shared" si="15"/>
        <v>3</v>
      </c>
      <c r="AJ63" s="54">
        <f t="shared" si="15"/>
        <v>3</v>
      </c>
      <c r="AK63" s="54">
        <f t="shared" si="15"/>
        <v>1</v>
      </c>
      <c r="AL63" s="54">
        <f t="shared" si="15"/>
        <v>2</v>
      </c>
      <c r="AM63" s="54">
        <f t="shared" si="15"/>
        <v>1</v>
      </c>
      <c r="AN63" s="54">
        <f t="shared" si="15"/>
        <v>2</v>
      </c>
      <c r="AO63" s="54">
        <f t="shared" si="15"/>
        <v>2</v>
      </c>
      <c r="AP63" s="54">
        <f t="shared" si="15"/>
        <v>0</v>
      </c>
      <c r="AQ63" s="54">
        <f t="shared" si="15"/>
        <v>2</v>
      </c>
    </row>
    <row r="64" spans="2:43" x14ac:dyDescent="0.25">
      <c r="B64" s="4" t="s">
        <v>15</v>
      </c>
      <c r="C64" s="23">
        <v>3</v>
      </c>
      <c r="D64" s="54">
        <f t="shared" ref="D64:S70" si="16">D33-D4</f>
        <v>1</v>
      </c>
      <c r="E64" s="54">
        <f t="shared" si="16"/>
        <v>1</v>
      </c>
      <c r="F64" s="54">
        <f t="shared" si="16"/>
        <v>2</v>
      </c>
      <c r="G64" s="54">
        <f t="shared" si="16"/>
        <v>0</v>
      </c>
      <c r="H64" s="54">
        <f t="shared" si="16"/>
        <v>1</v>
      </c>
      <c r="I64" s="54">
        <f t="shared" si="16"/>
        <v>0</v>
      </c>
      <c r="J64" s="54">
        <f t="shared" si="16"/>
        <v>0</v>
      </c>
      <c r="K64" s="54">
        <f t="shared" si="16"/>
        <v>0</v>
      </c>
      <c r="L64" s="54">
        <f t="shared" si="16"/>
        <v>1</v>
      </c>
      <c r="M64" s="54">
        <f t="shared" si="16"/>
        <v>2</v>
      </c>
      <c r="N64" s="54">
        <f t="shared" si="16"/>
        <v>2</v>
      </c>
      <c r="O64" s="54">
        <f t="shared" si="16"/>
        <v>1</v>
      </c>
      <c r="P64" s="54">
        <f t="shared" si="16"/>
        <v>2</v>
      </c>
      <c r="Q64" s="54">
        <f t="shared" si="16"/>
        <v>1</v>
      </c>
      <c r="R64" s="54">
        <f t="shared" si="16"/>
        <v>2</v>
      </c>
      <c r="S64" s="54">
        <f t="shared" si="16"/>
        <v>2</v>
      </c>
      <c r="T64" s="54">
        <f t="shared" si="15"/>
        <v>1</v>
      </c>
      <c r="U64" s="54">
        <f t="shared" si="15"/>
        <v>2</v>
      </c>
      <c r="V64" s="54">
        <f t="shared" si="15"/>
        <v>1</v>
      </c>
      <c r="W64" s="54">
        <f t="shared" si="15"/>
        <v>0</v>
      </c>
      <c r="X64" s="54">
        <f t="shared" si="15"/>
        <v>7</v>
      </c>
      <c r="Y64" s="54">
        <f t="shared" si="15"/>
        <v>11</v>
      </c>
      <c r="Z64" s="54">
        <f t="shared" si="15"/>
        <v>11</v>
      </c>
      <c r="AA64" s="54">
        <f t="shared" si="15"/>
        <v>4</v>
      </c>
      <c r="AB64" s="54">
        <f t="shared" si="15"/>
        <v>8</v>
      </c>
      <c r="AC64" s="54">
        <f t="shared" si="15"/>
        <v>0</v>
      </c>
      <c r="AD64" s="54">
        <f t="shared" si="15"/>
        <v>6</v>
      </c>
      <c r="AE64" s="54">
        <f t="shared" si="15"/>
        <v>9</v>
      </c>
      <c r="AF64" s="54">
        <f t="shared" si="15"/>
        <v>3</v>
      </c>
      <c r="AG64" s="54">
        <f t="shared" si="15"/>
        <v>8</v>
      </c>
      <c r="AH64" s="54">
        <f t="shared" si="15"/>
        <v>2</v>
      </c>
      <c r="AI64" s="54">
        <f t="shared" si="15"/>
        <v>2</v>
      </c>
      <c r="AJ64" s="54">
        <f t="shared" si="15"/>
        <v>-1</v>
      </c>
      <c r="AK64" s="54">
        <f t="shared" si="15"/>
        <v>-1</v>
      </c>
      <c r="AL64" s="54">
        <f t="shared" si="15"/>
        <v>1</v>
      </c>
      <c r="AM64" s="54">
        <f t="shared" si="15"/>
        <v>2</v>
      </c>
      <c r="AN64" s="54">
        <f t="shared" si="15"/>
        <v>1</v>
      </c>
      <c r="AO64" s="54">
        <f t="shared" si="15"/>
        <v>0</v>
      </c>
      <c r="AP64" s="54">
        <f t="shared" si="15"/>
        <v>0</v>
      </c>
      <c r="AQ64" s="54">
        <f t="shared" si="15"/>
        <v>0</v>
      </c>
    </row>
    <row r="65" spans="2:43" x14ac:dyDescent="0.25">
      <c r="B65" s="4" t="s">
        <v>17</v>
      </c>
      <c r="C65" s="23">
        <v>4.75</v>
      </c>
      <c r="D65" s="54">
        <f t="shared" si="16"/>
        <v>2</v>
      </c>
      <c r="E65" s="54">
        <f t="shared" si="15"/>
        <v>2</v>
      </c>
      <c r="F65" s="54">
        <f t="shared" si="15"/>
        <v>1</v>
      </c>
      <c r="G65" s="54">
        <f t="shared" si="15"/>
        <v>-1</v>
      </c>
      <c r="H65" s="54">
        <f t="shared" si="15"/>
        <v>0</v>
      </c>
      <c r="I65" s="54">
        <f t="shared" si="15"/>
        <v>0</v>
      </c>
      <c r="J65" s="54">
        <f t="shared" si="15"/>
        <v>0</v>
      </c>
      <c r="K65" s="54">
        <f t="shared" si="15"/>
        <v>1</v>
      </c>
      <c r="L65" s="54">
        <f t="shared" si="15"/>
        <v>0</v>
      </c>
      <c r="M65" s="54">
        <f t="shared" si="15"/>
        <v>1</v>
      </c>
      <c r="N65" s="54">
        <f t="shared" si="15"/>
        <v>3</v>
      </c>
      <c r="O65" s="54">
        <f t="shared" si="15"/>
        <v>2</v>
      </c>
      <c r="P65" s="54">
        <f t="shared" si="15"/>
        <v>3</v>
      </c>
      <c r="Q65" s="54">
        <f t="shared" si="15"/>
        <v>2</v>
      </c>
      <c r="R65" s="54">
        <f t="shared" si="15"/>
        <v>2</v>
      </c>
      <c r="S65" s="54">
        <f t="shared" si="15"/>
        <v>0</v>
      </c>
      <c r="T65" s="54">
        <f t="shared" si="15"/>
        <v>2</v>
      </c>
      <c r="U65" s="54">
        <f t="shared" si="15"/>
        <v>1</v>
      </c>
      <c r="V65" s="54">
        <f t="shared" si="15"/>
        <v>1</v>
      </c>
      <c r="W65" s="54">
        <f t="shared" si="15"/>
        <v>-1</v>
      </c>
      <c r="X65" s="54">
        <f t="shared" si="15"/>
        <v>5</v>
      </c>
      <c r="Y65" s="54">
        <f t="shared" si="15"/>
        <v>9</v>
      </c>
      <c r="Z65" s="54">
        <f t="shared" si="15"/>
        <v>7</v>
      </c>
      <c r="AA65" s="54">
        <f t="shared" si="15"/>
        <v>4</v>
      </c>
      <c r="AB65" s="54">
        <f t="shared" si="15"/>
        <v>8</v>
      </c>
      <c r="AC65" s="54">
        <f t="shared" si="15"/>
        <v>-2</v>
      </c>
      <c r="AD65" s="54">
        <f t="shared" si="15"/>
        <v>9</v>
      </c>
      <c r="AE65" s="54">
        <f t="shared" si="15"/>
        <v>5</v>
      </c>
      <c r="AF65" s="54">
        <f t="shared" si="15"/>
        <v>4</v>
      </c>
      <c r="AG65" s="54">
        <f t="shared" si="15"/>
        <v>1</v>
      </c>
      <c r="AH65" s="54">
        <f t="shared" si="15"/>
        <v>3</v>
      </c>
      <c r="AI65" s="54">
        <f t="shared" si="15"/>
        <v>4</v>
      </c>
      <c r="AJ65" s="54">
        <f t="shared" si="15"/>
        <v>1</v>
      </c>
      <c r="AK65" s="54">
        <f t="shared" si="15"/>
        <v>1</v>
      </c>
      <c r="AL65" s="54">
        <f t="shared" si="15"/>
        <v>3</v>
      </c>
      <c r="AM65" s="54">
        <f t="shared" si="15"/>
        <v>2</v>
      </c>
      <c r="AN65" s="54">
        <f t="shared" si="15"/>
        <v>4</v>
      </c>
      <c r="AO65" s="54">
        <f t="shared" si="15"/>
        <v>2</v>
      </c>
      <c r="AP65" s="54">
        <f t="shared" si="15"/>
        <v>2</v>
      </c>
      <c r="AQ65" s="54">
        <f t="shared" si="15"/>
        <v>2</v>
      </c>
    </row>
    <row r="66" spans="2:43" x14ac:dyDescent="0.25">
      <c r="B66" s="4" t="s">
        <v>18</v>
      </c>
      <c r="C66" s="23">
        <v>3.5</v>
      </c>
      <c r="D66" s="54">
        <f t="shared" si="16"/>
        <v>2</v>
      </c>
      <c r="E66" s="54">
        <f t="shared" si="15"/>
        <v>2</v>
      </c>
      <c r="F66" s="54">
        <f t="shared" si="15"/>
        <v>2</v>
      </c>
      <c r="G66" s="54">
        <f t="shared" si="15"/>
        <v>1</v>
      </c>
      <c r="H66" s="54">
        <f t="shared" si="15"/>
        <v>2</v>
      </c>
      <c r="I66" s="54">
        <f t="shared" si="15"/>
        <v>2</v>
      </c>
      <c r="J66" s="54">
        <f t="shared" si="15"/>
        <v>1</v>
      </c>
      <c r="K66" s="54">
        <f t="shared" si="15"/>
        <v>-1</v>
      </c>
      <c r="L66" s="54">
        <f t="shared" si="15"/>
        <v>1</v>
      </c>
      <c r="M66" s="54">
        <f t="shared" si="15"/>
        <v>1</v>
      </c>
      <c r="N66" s="54">
        <f t="shared" si="15"/>
        <v>2</v>
      </c>
      <c r="O66" s="54">
        <f t="shared" si="15"/>
        <v>2</v>
      </c>
      <c r="P66" s="54">
        <f t="shared" si="15"/>
        <v>2</v>
      </c>
      <c r="Q66" s="54">
        <f t="shared" si="15"/>
        <v>3</v>
      </c>
      <c r="R66" s="54">
        <f t="shared" si="15"/>
        <v>2</v>
      </c>
      <c r="S66" s="54">
        <f t="shared" si="15"/>
        <v>3</v>
      </c>
      <c r="T66" s="54">
        <f t="shared" si="15"/>
        <v>1</v>
      </c>
      <c r="U66" s="54">
        <f t="shared" si="15"/>
        <v>1</v>
      </c>
      <c r="V66" s="54">
        <f t="shared" si="15"/>
        <v>1</v>
      </c>
      <c r="W66" s="54">
        <f t="shared" si="15"/>
        <v>0</v>
      </c>
      <c r="X66" s="54">
        <f t="shared" si="15"/>
        <v>8</v>
      </c>
      <c r="Y66" s="54">
        <f t="shared" si="15"/>
        <v>12</v>
      </c>
      <c r="Z66" s="54">
        <f t="shared" si="15"/>
        <v>9</v>
      </c>
      <c r="AA66" s="54">
        <f t="shared" si="15"/>
        <v>7</v>
      </c>
      <c r="AB66" s="54">
        <f t="shared" si="15"/>
        <v>11</v>
      </c>
      <c r="AC66" s="54">
        <f t="shared" si="15"/>
        <v>2</v>
      </c>
      <c r="AD66" s="54">
        <f t="shared" si="15"/>
        <v>12</v>
      </c>
      <c r="AE66" s="54">
        <f t="shared" si="15"/>
        <v>6</v>
      </c>
      <c r="AF66" s="54">
        <f t="shared" si="15"/>
        <v>1</v>
      </c>
      <c r="AG66" s="54">
        <f t="shared" si="15"/>
        <v>6</v>
      </c>
      <c r="AH66" s="54">
        <f t="shared" si="15"/>
        <v>2</v>
      </c>
      <c r="AI66" s="54">
        <f t="shared" si="15"/>
        <v>3</v>
      </c>
      <c r="AJ66" s="54">
        <f t="shared" si="15"/>
        <v>0</v>
      </c>
      <c r="AK66" s="54">
        <f t="shared" si="15"/>
        <v>1</v>
      </c>
      <c r="AL66" s="54">
        <f t="shared" si="15"/>
        <v>0</v>
      </c>
      <c r="AM66" s="54">
        <f t="shared" si="15"/>
        <v>2</v>
      </c>
      <c r="AN66" s="54">
        <f t="shared" si="15"/>
        <v>2</v>
      </c>
      <c r="AO66" s="54">
        <f t="shared" si="15"/>
        <v>1</v>
      </c>
      <c r="AP66" s="54">
        <f t="shared" si="15"/>
        <v>0</v>
      </c>
      <c r="AQ66" s="54">
        <f t="shared" si="15"/>
        <v>0</v>
      </c>
    </row>
    <row r="67" spans="2:43" x14ac:dyDescent="0.25">
      <c r="B67" s="4" t="s">
        <v>14</v>
      </c>
      <c r="C67" s="23">
        <v>6</v>
      </c>
      <c r="D67" s="54">
        <f t="shared" si="16"/>
        <v>1</v>
      </c>
      <c r="E67" s="54">
        <f t="shared" si="15"/>
        <v>1</v>
      </c>
      <c r="F67" s="54">
        <f t="shared" si="15"/>
        <v>1</v>
      </c>
      <c r="G67" s="54">
        <f t="shared" si="15"/>
        <v>0</v>
      </c>
      <c r="H67" s="54">
        <f t="shared" si="15"/>
        <v>1</v>
      </c>
      <c r="I67" s="54">
        <f t="shared" si="15"/>
        <v>1</v>
      </c>
      <c r="J67" s="54">
        <f t="shared" si="15"/>
        <v>2</v>
      </c>
      <c r="K67" s="54">
        <f t="shared" si="15"/>
        <v>0</v>
      </c>
      <c r="L67" s="54">
        <f t="shared" si="15"/>
        <v>1</v>
      </c>
      <c r="M67" s="54">
        <f t="shared" si="15"/>
        <v>0</v>
      </c>
      <c r="N67" s="54">
        <f t="shared" si="15"/>
        <v>2</v>
      </c>
      <c r="O67" s="54">
        <f t="shared" si="15"/>
        <v>1</v>
      </c>
      <c r="P67" s="54">
        <f t="shared" si="15"/>
        <v>2</v>
      </c>
      <c r="Q67" s="54">
        <f t="shared" si="15"/>
        <v>2</v>
      </c>
      <c r="R67" s="54">
        <f t="shared" si="15"/>
        <v>2</v>
      </c>
      <c r="S67" s="54">
        <f t="shared" si="15"/>
        <v>0</v>
      </c>
      <c r="T67" s="54">
        <f t="shared" si="15"/>
        <v>1</v>
      </c>
      <c r="U67" s="54">
        <f t="shared" si="15"/>
        <v>2</v>
      </c>
      <c r="V67" s="54">
        <f t="shared" si="15"/>
        <v>0</v>
      </c>
      <c r="W67" s="54">
        <f t="shared" si="15"/>
        <v>0</v>
      </c>
      <c r="X67" s="54">
        <f t="shared" si="15"/>
        <v>5</v>
      </c>
      <c r="Y67" s="54">
        <f t="shared" si="15"/>
        <v>9</v>
      </c>
      <c r="Z67" s="54">
        <f t="shared" si="15"/>
        <v>8</v>
      </c>
      <c r="AA67" s="54">
        <f t="shared" si="15"/>
        <v>4</v>
      </c>
      <c r="AB67" s="54">
        <f t="shared" si="15"/>
        <v>6</v>
      </c>
      <c r="AC67" s="54">
        <f t="shared" si="15"/>
        <v>1</v>
      </c>
      <c r="AD67" s="54">
        <f t="shared" si="15"/>
        <v>9</v>
      </c>
      <c r="AE67" s="54">
        <f t="shared" si="15"/>
        <v>6</v>
      </c>
      <c r="AF67" s="54">
        <f t="shared" si="15"/>
        <v>7</v>
      </c>
      <c r="AG67" s="54">
        <f t="shared" si="15"/>
        <v>7</v>
      </c>
      <c r="AH67" s="54">
        <f t="shared" si="15"/>
        <v>0</v>
      </c>
      <c r="AI67" s="54">
        <f t="shared" si="15"/>
        <v>1</v>
      </c>
      <c r="AJ67" s="54">
        <f t="shared" si="15"/>
        <v>0</v>
      </c>
      <c r="AK67" s="54">
        <f t="shared" si="15"/>
        <v>1</v>
      </c>
      <c r="AL67" s="54">
        <f t="shared" si="15"/>
        <v>2</v>
      </c>
      <c r="AM67" s="54">
        <f t="shared" si="15"/>
        <v>3</v>
      </c>
      <c r="AN67" s="54">
        <f t="shared" si="15"/>
        <v>3</v>
      </c>
      <c r="AO67" s="54">
        <f t="shared" si="15"/>
        <v>2</v>
      </c>
      <c r="AP67" s="54">
        <f t="shared" si="15"/>
        <v>2</v>
      </c>
      <c r="AQ67" s="54">
        <f t="shared" si="15"/>
        <v>2</v>
      </c>
    </row>
    <row r="68" spans="2:43" x14ac:dyDescent="0.25">
      <c r="B68" s="4" t="s">
        <v>20</v>
      </c>
      <c r="C68" s="23">
        <v>0</v>
      </c>
      <c r="D68" s="54">
        <f t="shared" si="16"/>
        <v>2</v>
      </c>
      <c r="E68" s="54">
        <f t="shared" si="15"/>
        <v>1</v>
      </c>
      <c r="F68" s="54">
        <f t="shared" si="15"/>
        <v>1</v>
      </c>
      <c r="G68" s="54">
        <f t="shared" si="15"/>
        <v>1</v>
      </c>
      <c r="H68" s="54">
        <f t="shared" si="15"/>
        <v>1</v>
      </c>
      <c r="I68" s="54">
        <f t="shared" si="15"/>
        <v>0</v>
      </c>
      <c r="J68" s="54">
        <f t="shared" si="15"/>
        <v>1</v>
      </c>
      <c r="K68" s="54">
        <f t="shared" si="15"/>
        <v>0</v>
      </c>
      <c r="L68" s="54">
        <f t="shared" si="15"/>
        <v>1</v>
      </c>
      <c r="M68" s="54">
        <f t="shared" si="15"/>
        <v>1</v>
      </c>
      <c r="N68" s="54">
        <f t="shared" si="15"/>
        <v>2</v>
      </c>
      <c r="O68" s="54">
        <f t="shared" si="15"/>
        <v>2</v>
      </c>
      <c r="P68" s="54">
        <f t="shared" si="15"/>
        <v>3</v>
      </c>
      <c r="Q68" s="54">
        <f t="shared" si="15"/>
        <v>2</v>
      </c>
      <c r="R68" s="54">
        <f t="shared" si="15"/>
        <v>2</v>
      </c>
      <c r="S68" s="54">
        <f t="shared" si="15"/>
        <v>1</v>
      </c>
      <c r="T68" s="54">
        <f t="shared" si="15"/>
        <v>1</v>
      </c>
      <c r="U68" s="54">
        <f t="shared" si="15"/>
        <v>2</v>
      </c>
      <c r="V68" s="54">
        <f t="shared" si="15"/>
        <v>1</v>
      </c>
      <c r="W68" s="54">
        <f t="shared" si="15"/>
        <v>1</v>
      </c>
      <c r="X68" s="54">
        <f t="shared" si="15"/>
        <v>6</v>
      </c>
      <c r="Y68" s="54">
        <f t="shared" si="15"/>
        <v>10</v>
      </c>
      <c r="Z68" s="54">
        <f t="shared" si="15"/>
        <v>7</v>
      </c>
      <c r="AA68" s="54">
        <f t="shared" si="15"/>
        <v>5</v>
      </c>
      <c r="AB68" s="54">
        <f t="shared" si="15"/>
        <v>6</v>
      </c>
      <c r="AC68" s="54">
        <f t="shared" si="15"/>
        <v>1</v>
      </c>
      <c r="AD68" s="54">
        <f t="shared" si="15"/>
        <v>9</v>
      </c>
      <c r="AE68" s="54">
        <f t="shared" si="15"/>
        <v>6</v>
      </c>
      <c r="AF68" s="54">
        <f t="shared" si="15"/>
        <v>4</v>
      </c>
      <c r="AG68" s="54">
        <f t="shared" si="15"/>
        <v>5</v>
      </c>
      <c r="AH68" s="54">
        <f t="shared" si="15"/>
        <v>2</v>
      </c>
      <c r="AI68" s="54">
        <f t="shared" si="15"/>
        <v>2</v>
      </c>
      <c r="AJ68" s="54">
        <f t="shared" si="15"/>
        <v>2</v>
      </c>
      <c r="AK68" s="54">
        <f t="shared" si="15"/>
        <v>1</v>
      </c>
      <c r="AL68" s="54">
        <f t="shared" si="15"/>
        <v>2</v>
      </c>
      <c r="AM68" s="54">
        <f t="shared" si="15"/>
        <v>1</v>
      </c>
      <c r="AN68" s="54">
        <f t="shared" si="15"/>
        <v>2</v>
      </c>
      <c r="AO68" s="54">
        <f t="shared" si="15"/>
        <v>1</v>
      </c>
      <c r="AP68" s="54">
        <f t="shared" si="15"/>
        <v>1</v>
      </c>
      <c r="AQ68" s="54">
        <f t="shared" si="15"/>
        <v>2</v>
      </c>
    </row>
    <row r="69" spans="2:43" x14ac:dyDescent="0.25">
      <c r="B69" s="4" t="s">
        <v>21</v>
      </c>
      <c r="C69" s="23">
        <v>4</v>
      </c>
      <c r="D69" s="54">
        <f t="shared" si="16"/>
        <v>1</v>
      </c>
      <c r="E69" s="54">
        <f t="shared" si="15"/>
        <v>1</v>
      </c>
      <c r="F69" s="54">
        <f t="shared" si="15"/>
        <v>2</v>
      </c>
      <c r="G69" s="54">
        <f t="shared" si="15"/>
        <v>0</v>
      </c>
      <c r="H69" s="54">
        <f t="shared" si="15"/>
        <v>0</v>
      </c>
      <c r="I69" s="54">
        <f t="shared" si="15"/>
        <v>0</v>
      </c>
      <c r="J69" s="54">
        <f t="shared" si="15"/>
        <v>1</v>
      </c>
      <c r="K69" s="54">
        <f t="shared" si="15"/>
        <v>0</v>
      </c>
      <c r="L69" s="54">
        <f t="shared" si="15"/>
        <v>0</v>
      </c>
      <c r="M69" s="54">
        <f t="shared" si="15"/>
        <v>1</v>
      </c>
      <c r="N69" s="54">
        <f t="shared" si="15"/>
        <v>1</v>
      </c>
      <c r="O69" s="54">
        <f t="shared" si="15"/>
        <v>1</v>
      </c>
      <c r="P69" s="54">
        <f t="shared" si="15"/>
        <v>1</v>
      </c>
      <c r="Q69" s="54">
        <f t="shared" si="15"/>
        <v>3</v>
      </c>
      <c r="R69" s="54">
        <f t="shared" si="15"/>
        <v>1</v>
      </c>
      <c r="S69" s="54">
        <f t="shared" si="15"/>
        <v>1</v>
      </c>
      <c r="T69" s="54">
        <f t="shared" si="15"/>
        <v>0</v>
      </c>
      <c r="U69" s="54">
        <f t="shared" si="15"/>
        <v>0</v>
      </c>
      <c r="V69" s="54">
        <f t="shared" si="15"/>
        <v>1</v>
      </c>
      <c r="W69" s="54">
        <f t="shared" si="15"/>
        <v>0</v>
      </c>
      <c r="X69" s="54">
        <f t="shared" si="15"/>
        <v>5</v>
      </c>
      <c r="Y69" s="54">
        <f t="shared" si="15"/>
        <v>8</v>
      </c>
      <c r="Z69" s="54">
        <f t="shared" si="15"/>
        <v>7</v>
      </c>
      <c r="AA69" s="54">
        <f t="shared" si="15"/>
        <v>7</v>
      </c>
      <c r="AB69" s="54">
        <f t="shared" si="15"/>
        <v>5</v>
      </c>
      <c r="AC69" s="54">
        <f t="shared" si="15"/>
        <v>0</v>
      </c>
      <c r="AD69" s="54">
        <f t="shared" si="15"/>
        <v>6</v>
      </c>
      <c r="AE69" s="54">
        <f t="shared" si="15"/>
        <v>5</v>
      </c>
      <c r="AF69" s="54">
        <f t="shared" si="15"/>
        <v>3</v>
      </c>
      <c r="AG69" s="54">
        <f t="shared" si="15"/>
        <v>4</v>
      </c>
      <c r="AH69" s="54">
        <f t="shared" si="15"/>
        <v>4</v>
      </c>
      <c r="AI69" s="54">
        <f t="shared" si="15"/>
        <v>3</v>
      </c>
      <c r="AJ69" s="54">
        <f t="shared" si="15"/>
        <v>2</v>
      </c>
      <c r="AK69" s="54">
        <f t="shared" si="15"/>
        <v>2</v>
      </c>
      <c r="AL69" s="54">
        <f t="shared" si="15"/>
        <v>1</v>
      </c>
      <c r="AM69" s="54">
        <f t="shared" si="15"/>
        <v>3</v>
      </c>
      <c r="AN69" s="54">
        <f t="shared" si="15"/>
        <v>2</v>
      </c>
      <c r="AO69" s="54">
        <f t="shared" ref="E69:AQ70" si="17">AO38-AO9</f>
        <v>0</v>
      </c>
      <c r="AP69" s="54">
        <f t="shared" si="17"/>
        <v>1</v>
      </c>
      <c r="AQ69" s="54">
        <f t="shared" si="17"/>
        <v>4</v>
      </c>
    </row>
    <row r="70" spans="2:43" x14ac:dyDescent="0.25">
      <c r="B70" s="4" t="s">
        <v>19</v>
      </c>
      <c r="C70" s="23">
        <v>3.75</v>
      </c>
      <c r="D70" s="54">
        <f t="shared" si="16"/>
        <v>1</v>
      </c>
      <c r="E70" s="54">
        <f t="shared" si="17"/>
        <v>0</v>
      </c>
      <c r="F70" s="54">
        <f t="shared" si="17"/>
        <v>1</v>
      </c>
      <c r="G70" s="54">
        <f t="shared" si="17"/>
        <v>-1</v>
      </c>
      <c r="H70" s="54">
        <f t="shared" si="17"/>
        <v>0</v>
      </c>
      <c r="I70" s="54">
        <f t="shared" si="17"/>
        <v>0</v>
      </c>
      <c r="J70" s="54">
        <f t="shared" si="17"/>
        <v>-1</v>
      </c>
      <c r="K70" s="54">
        <f t="shared" si="17"/>
        <v>0</v>
      </c>
      <c r="L70" s="54">
        <f t="shared" si="17"/>
        <v>1</v>
      </c>
      <c r="M70" s="54">
        <f t="shared" si="17"/>
        <v>1</v>
      </c>
      <c r="N70" s="54">
        <f t="shared" si="17"/>
        <v>2</v>
      </c>
      <c r="O70" s="54">
        <f t="shared" si="17"/>
        <v>2</v>
      </c>
      <c r="P70" s="54">
        <f t="shared" si="17"/>
        <v>1</v>
      </c>
      <c r="Q70" s="54">
        <f t="shared" si="17"/>
        <v>3</v>
      </c>
      <c r="R70" s="54">
        <f t="shared" si="17"/>
        <v>1</v>
      </c>
      <c r="S70" s="54">
        <f t="shared" si="17"/>
        <v>2</v>
      </c>
      <c r="T70" s="54">
        <f t="shared" si="17"/>
        <v>0</v>
      </c>
      <c r="U70" s="54">
        <f t="shared" si="17"/>
        <v>1</v>
      </c>
      <c r="V70" s="54">
        <f t="shared" si="17"/>
        <v>1</v>
      </c>
      <c r="W70" s="54">
        <f t="shared" si="17"/>
        <v>0</v>
      </c>
      <c r="X70" s="54">
        <f t="shared" si="17"/>
        <v>4</v>
      </c>
      <c r="Y70" s="54">
        <f t="shared" si="17"/>
        <v>6</v>
      </c>
      <c r="Z70" s="54">
        <f t="shared" si="17"/>
        <v>7</v>
      </c>
      <c r="AA70" s="54">
        <f t="shared" si="17"/>
        <v>6</v>
      </c>
      <c r="AB70" s="54">
        <f t="shared" si="17"/>
        <v>6</v>
      </c>
      <c r="AC70" s="54">
        <f t="shared" si="17"/>
        <v>-1</v>
      </c>
      <c r="AD70" s="54">
        <f t="shared" si="17"/>
        <v>7</v>
      </c>
      <c r="AE70" s="54">
        <f t="shared" si="17"/>
        <v>5</v>
      </c>
      <c r="AF70" s="54">
        <f t="shared" si="17"/>
        <v>-2</v>
      </c>
      <c r="AG70" s="54">
        <f t="shared" si="17"/>
        <v>2</v>
      </c>
      <c r="AH70" s="54">
        <f t="shared" si="17"/>
        <v>1</v>
      </c>
      <c r="AI70" s="54">
        <f t="shared" si="17"/>
        <v>2</v>
      </c>
      <c r="AJ70" s="54">
        <f t="shared" si="17"/>
        <v>1</v>
      </c>
      <c r="AK70" s="54">
        <f t="shared" si="17"/>
        <v>-1</v>
      </c>
      <c r="AL70" s="54">
        <f t="shared" si="17"/>
        <v>1</v>
      </c>
      <c r="AM70" s="54">
        <f t="shared" si="17"/>
        <v>3</v>
      </c>
      <c r="AN70" s="54">
        <f t="shared" si="17"/>
        <v>2</v>
      </c>
      <c r="AO70" s="54">
        <f t="shared" si="17"/>
        <v>2</v>
      </c>
      <c r="AP70" s="54">
        <f t="shared" si="17"/>
        <v>2</v>
      </c>
      <c r="AQ70" s="54">
        <f t="shared" si="17"/>
        <v>1</v>
      </c>
    </row>
  </sheetData>
  <autoFilter ref="A2:AQ2" xr:uid="{BB293E0D-7B6F-4E60-8FEB-95D8ABB112DA}">
    <sortState xmlns:xlrd2="http://schemas.microsoft.com/office/spreadsheetml/2017/richdata2" ref="A3:AQ10">
      <sortCondition descending="1" ref="C2"/>
    </sortState>
  </autoFilter>
  <mergeCells count="1">
    <mergeCell ref="B12:C12"/>
  </mergeCells>
  <conditionalFormatting sqref="C3:C10">
    <cfRule type="colorScale" priority="45">
      <colorScale>
        <cfvo type="min"/>
        <cfvo type="max"/>
        <color rgb="FFFCFCFF"/>
        <color rgb="FF63BE7B"/>
      </colorScale>
    </cfRule>
  </conditionalFormatting>
  <conditionalFormatting sqref="C19:C26">
    <cfRule type="colorScale" priority="59">
      <colorScale>
        <cfvo type="min"/>
        <cfvo type="max"/>
        <color rgb="FFFCFCFF"/>
        <color rgb="FF63BE7B"/>
      </colorScale>
    </cfRule>
  </conditionalFormatting>
  <conditionalFormatting sqref="C32:C39">
    <cfRule type="colorScale" priority="106">
      <colorScale>
        <cfvo type="min"/>
        <cfvo type="max"/>
        <color rgb="FFFCFCFF"/>
        <color rgb="FF63BE7B"/>
      </colorScale>
    </cfRule>
  </conditionalFormatting>
  <conditionalFormatting sqref="C63:C70">
    <cfRule type="colorScale" priority="9">
      <colorScale>
        <cfvo type="min"/>
        <cfvo type="max"/>
        <color rgb="FFFCFCFF"/>
        <color rgb="FF63BE7B"/>
      </colorScale>
    </cfRule>
  </conditionalFormatting>
  <conditionalFormatting sqref="C48:AQ55">
    <cfRule type="cellIs" dxfId="5" priority="10" operator="lessThan">
      <formula>$C$45</formula>
    </cfRule>
    <cfRule type="cellIs" dxfId="4" priority="11" operator="greaterThan">
      <formula>$C$44</formula>
    </cfRule>
  </conditionalFormatting>
  <conditionalFormatting sqref="D3:D10">
    <cfRule type="colorScale" priority="44">
      <colorScale>
        <cfvo type="min"/>
        <cfvo type="max"/>
        <color rgb="FFFCFCFF"/>
        <color rgb="FF63BE7B"/>
      </colorScale>
    </cfRule>
  </conditionalFormatting>
  <conditionalFormatting sqref="D19:D26">
    <cfRule type="colorScale" priority="63">
      <colorScale>
        <cfvo type="min"/>
        <cfvo type="max"/>
        <color rgb="FFFCFCFF"/>
        <color rgb="FF63BE7B"/>
      </colorScale>
    </cfRule>
  </conditionalFormatting>
  <conditionalFormatting sqref="D32:D39">
    <cfRule type="colorScale" priority="110">
      <colorScale>
        <cfvo type="min"/>
        <cfvo type="max"/>
        <color rgb="FFFCFCFF"/>
        <color rgb="FF63BE7B"/>
      </colorScale>
    </cfRule>
  </conditionalFormatting>
  <conditionalFormatting sqref="D63:AQ70">
    <cfRule type="cellIs" dxfId="3" priority="1" operator="greaterThan">
      <formula>$C$59</formula>
    </cfRule>
    <cfRule type="cellIs" dxfId="2" priority="2" operator="lessThan">
      <formula>$C$60</formula>
    </cfRule>
    <cfRule type="cellIs" dxfId="1" priority="3" operator="lessThan">
      <formula>$C$60</formula>
    </cfRule>
    <cfRule type="cellIs" dxfId="0" priority="4" operator="greaterThan">
      <formula>$C$59</formula>
    </cfRule>
  </conditionalFormatting>
  <conditionalFormatting sqref="N3:N10">
    <cfRule type="colorScale" priority="43">
      <colorScale>
        <cfvo type="min"/>
        <cfvo type="max"/>
        <color rgb="FFFCFCFF"/>
        <color rgb="FF63BE7B"/>
      </colorScale>
    </cfRule>
  </conditionalFormatting>
  <conditionalFormatting sqref="N19:N26">
    <cfRule type="colorScale" priority="67">
      <colorScale>
        <cfvo type="min"/>
        <cfvo type="max"/>
        <color rgb="FFFCFCFF"/>
        <color rgb="FF63BE7B"/>
      </colorScale>
    </cfRule>
  </conditionalFormatting>
  <conditionalFormatting sqref="N32:N39">
    <cfRule type="colorScale" priority="114">
      <colorScale>
        <cfvo type="min"/>
        <cfvo type="max"/>
        <color rgb="FFFCFCFF"/>
        <color rgb="FF63BE7B"/>
      </colorScale>
    </cfRule>
  </conditionalFormatting>
  <conditionalFormatting sqref="X3:X10">
    <cfRule type="colorScale" priority="42">
      <colorScale>
        <cfvo type="min"/>
        <cfvo type="max"/>
        <color rgb="FFFCFCFF"/>
        <color rgb="FF63BE7B"/>
      </colorScale>
    </cfRule>
  </conditionalFormatting>
  <conditionalFormatting sqref="X19:X26">
    <cfRule type="colorScale" priority="71">
      <colorScale>
        <cfvo type="min"/>
        <cfvo type="max"/>
        <color rgb="FFFCFCFF"/>
        <color rgb="FF63BE7B"/>
      </colorScale>
    </cfRule>
  </conditionalFormatting>
  <conditionalFormatting sqref="X32:X39">
    <cfRule type="colorScale" priority="118">
      <colorScale>
        <cfvo type="min"/>
        <cfvo type="max"/>
        <color rgb="FFFCFCFF"/>
        <color rgb="FF63BE7B"/>
      </colorScale>
    </cfRule>
  </conditionalFormatting>
  <conditionalFormatting sqref="AH3:AH10">
    <cfRule type="colorScale" priority="41">
      <colorScale>
        <cfvo type="min"/>
        <cfvo type="max"/>
        <color rgb="FFFCFCFF"/>
        <color rgb="FF63BE7B"/>
      </colorScale>
    </cfRule>
  </conditionalFormatting>
  <conditionalFormatting sqref="AH19:AH26">
    <cfRule type="colorScale" priority="75">
      <colorScale>
        <cfvo type="min"/>
        <cfvo type="max"/>
        <color rgb="FFFCFCFF"/>
        <color rgb="FF63BE7B"/>
      </colorScale>
    </cfRule>
  </conditionalFormatting>
  <conditionalFormatting sqref="AH32:AH39">
    <cfRule type="colorScale" priority="12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Rajsnerová</dc:creator>
  <cp:lastModifiedBy>Peter Javornický</cp:lastModifiedBy>
  <dcterms:created xsi:type="dcterms:W3CDTF">2025-06-11T08:26:34Z</dcterms:created>
  <dcterms:modified xsi:type="dcterms:W3CDTF">2025-12-16T08:33:37Z</dcterms:modified>
</cp:coreProperties>
</file>