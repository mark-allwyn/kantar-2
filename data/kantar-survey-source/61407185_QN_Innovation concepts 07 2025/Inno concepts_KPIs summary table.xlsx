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peter_javornicky_kantar_com/Documents/Desktop/Pracovne/# 1 Clients/Allwyn/2025/# Data pro AI/61407185_QN_Innovation concepts 07 2025/"/>
    </mc:Choice>
  </mc:AlternateContent>
  <xr:revisionPtr revIDLastSave="1" documentId="13_ncr:1_{E097B025-FA70-4DDE-8A5F-789894F9B653}" xr6:coauthVersionLast="47" xr6:coauthVersionMax="47" xr10:uidLastSave="{4957FA53-E410-41BC-B12D-A2D12284D435}"/>
  <bookViews>
    <workbookView xWindow="-120" yWindow="-120" windowWidth="29040" windowHeight="15720" xr2:uid="{BD91054D-4090-4AF0-B2A6-5BC1A25EB2B2}"/>
  </bookViews>
  <sheets>
    <sheet name="KPIs" sheetId="1" r:id="rId1"/>
  </sheets>
  <definedNames>
    <definedName name="_xlnm._FilterDatabase" localSheetId="0" hidden="1">KPIs!$A$2:$AF$2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8" i="1"/>
  <c r="B5" i="1"/>
  <c r="B7" i="1"/>
  <c r="B9" i="1"/>
  <c r="B10" i="1"/>
  <c r="B3" i="1"/>
</calcChain>
</file>

<file path=xl/sharedStrings.xml><?xml version="1.0" encoding="utf-8"?>
<sst xmlns="http://schemas.openxmlformats.org/spreadsheetml/2006/main" count="47" uniqueCount="27">
  <si>
    <t>Concept Name</t>
  </si>
  <si>
    <t>Trial</t>
  </si>
  <si>
    <t>Pur. Intent (%Top)</t>
  </si>
  <si>
    <t>Pur. Intent (%Top 2)</t>
  </si>
  <si>
    <t>Price Value (%Top 2)</t>
  </si>
  <si>
    <t>Appeal (%Top 2)</t>
  </si>
  <si>
    <t>Uniqueness (%Top 2)</t>
  </si>
  <si>
    <t>Relevance (%Top 2)</t>
  </si>
  <si>
    <t>Excitement (%Top 2)</t>
  </si>
  <si>
    <t>Believability (%Top)</t>
  </si>
  <si>
    <t>Understanding (%Top 3)</t>
  </si>
  <si>
    <t>Game Vibes</t>
  </si>
  <si>
    <t>Game on</t>
  </si>
  <si>
    <t>Team Sync</t>
  </si>
  <si>
    <t>Dropd</t>
  </si>
  <si>
    <t>Karma</t>
  </si>
  <si>
    <t>Someday</t>
  </si>
  <si>
    <t>RealPlay</t>
  </si>
  <si>
    <t>Pocket Prophet</t>
  </si>
  <si>
    <t>CZ</t>
  </si>
  <si>
    <t>US</t>
  </si>
  <si>
    <t>UK</t>
  </si>
  <si>
    <t>Average Trial</t>
  </si>
  <si>
    <t>Compared to ConceptEvaluate country norms (Total sample only)</t>
  </si>
  <si>
    <t>Top 25%</t>
  </si>
  <si>
    <t>25%-50%</t>
  </si>
  <si>
    <t>Bottom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</si>
</sst>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DAA6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DAA6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3" fillId="4" borderId="0" xfId="0" applyFont="1" applyFill="1"/>
    <xf numFmtId="0" fontId="0" fillId="4" borderId="0" xfId="0" applyFill="1"/>
    <xf numFmtId="0" fontId="0" fillId="4" borderId="0" xfId="0" applyFill="1" applyAlignment="1">
      <alignment wrapText="1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1" fontId="4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2">
    <cellStyle name="Normal" xfId="0" builtinId="0"/>
    <cellStyle name="Normal 2" xfId="1" xr:uid="{DB95FAF2-63F6-4084-81C4-F6044F527EBF}"/>
  </cellStyles>
  <dxfs count="0"/>
  <tableStyles count="0" defaultTableStyle="TableStyleMedium2" defaultPivotStyle="PivotStyleLight16"/>
  <colors>
    <mruColors>
      <color rgb="FFDA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308F-7C66-48DF-BF79-B95CB1241B47}">
  <dimension ref="A1:AF17"/>
  <sheetViews>
    <sheetView tabSelected="1" zoomScale="90" zoomScaleNormal="90" workbookViewId="0">
      <selection activeCell="J23" sqref="J23"/>
    </sheetView>
  </sheetViews>
  <sheetFormatPr defaultColWidth="9.140625" defaultRowHeight="15" x14ac:dyDescent="0.25"/>
  <cols>
    <col min="1" max="1" width="16.7109375" style="3" customWidth="1"/>
    <col min="2" max="2" width="10.5703125" style="3" customWidth="1"/>
    <col min="3" max="3" width="11" style="21" customWidth="1"/>
    <col min="4" max="12" width="11" style="13" customWidth="1"/>
    <col min="13" max="13" width="11" style="21" customWidth="1"/>
    <col min="14" max="22" width="11" style="13" customWidth="1"/>
    <col min="23" max="23" width="11" style="21" customWidth="1"/>
    <col min="24" max="32" width="11" style="13" customWidth="1"/>
    <col min="33" max="47" width="22.7109375" style="13" customWidth="1"/>
    <col min="48" max="16384" width="9.140625" style="13"/>
  </cols>
  <sheetData>
    <row r="1" spans="1:32" x14ac:dyDescent="0.25">
      <c r="C1" s="4" t="s">
        <v>19</v>
      </c>
      <c r="D1" s="5"/>
      <c r="E1" s="5"/>
      <c r="F1" s="5"/>
      <c r="G1" s="5"/>
      <c r="H1" s="6"/>
      <c r="I1" s="6"/>
      <c r="J1" s="6"/>
      <c r="K1" s="6"/>
      <c r="L1" s="6"/>
      <c r="M1" s="7" t="s">
        <v>21</v>
      </c>
      <c r="N1" s="8"/>
      <c r="O1" s="8"/>
      <c r="P1" s="8"/>
      <c r="Q1" s="8"/>
      <c r="R1" s="9"/>
      <c r="S1" s="9"/>
      <c r="T1" s="9"/>
      <c r="U1" s="9"/>
      <c r="V1" s="9"/>
      <c r="W1" s="10" t="s">
        <v>20</v>
      </c>
      <c r="X1" s="11"/>
      <c r="Y1" s="11"/>
      <c r="Z1" s="11"/>
      <c r="AA1" s="11"/>
      <c r="AB1" s="12"/>
      <c r="AC1" s="12"/>
      <c r="AD1" s="12"/>
      <c r="AE1" s="12"/>
      <c r="AF1" s="12"/>
    </row>
    <row r="2" spans="1:32" ht="45" x14ac:dyDescent="0.25">
      <c r="A2" s="2" t="s">
        <v>0</v>
      </c>
      <c r="B2" s="1" t="s">
        <v>22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</row>
    <row r="3" spans="1:32" x14ac:dyDescent="0.25">
      <c r="A3" s="14" t="s">
        <v>11</v>
      </c>
      <c r="B3" s="15">
        <f t="shared" ref="B3:B10" si="0">AVERAGE(C3,M3,W3)</f>
        <v>40.666666666666664</v>
      </c>
      <c r="C3" s="16">
        <v>32</v>
      </c>
      <c r="D3" s="17">
        <v>20</v>
      </c>
      <c r="E3" s="17">
        <v>52</v>
      </c>
      <c r="F3" s="17">
        <v>44</v>
      </c>
      <c r="G3" s="18">
        <v>35</v>
      </c>
      <c r="H3" s="29">
        <v>62</v>
      </c>
      <c r="I3" s="18">
        <v>21</v>
      </c>
      <c r="J3" s="18">
        <v>71</v>
      </c>
      <c r="K3" s="17">
        <v>14</v>
      </c>
      <c r="L3" s="17">
        <v>43</v>
      </c>
      <c r="M3" s="27">
        <v>48</v>
      </c>
      <c r="N3" s="29">
        <v>47</v>
      </c>
      <c r="O3" s="18">
        <v>80</v>
      </c>
      <c r="P3" s="29">
        <v>52</v>
      </c>
      <c r="Q3" s="29">
        <v>64</v>
      </c>
      <c r="R3" s="29">
        <v>76</v>
      </c>
      <c r="S3" s="29">
        <v>55</v>
      </c>
      <c r="T3" s="29">
        <v>84</v>
      </c>
      <c r="U3" s="29">
        <v>51</v>
      </c>
      <c r="V3" s="18">
        <v>69</v>
      </c>
      <c r="W3" s="26">
        <v>42</v>
      </c>
      <c r="X3" s="17">
        <v>41</v>
      </c>
      <c r="Y3" s="17">
        <v>69</v>
      </c>
      <c r="Z3" s="18">
        <v>50</v>
      </c>
      <c r="AA3" s="29">
        <v>56</v>
      </c>
      <c r="AB3" s="29">
        <v>77</v>
      </c>
      <c r="AC3" s="29">
        <v>49</v>
      </c>
      <c r="AD3" s="29">
        <v>86</v>
      </c>
      <c r="AE3" s="18">
        <v>44</v>
      </c>
      <c r="AF3" s="17">
        <v>61</v>
      </c>
    </row>
    <row r="4" spans="1:32" x14ac:dyDescent="0.25">
      <c r="A4" s="14" t="s">
        <v>12</v>
      </c>
      <c r="B4" s="19">
        <f t="shared" si="0"/>
        <v>40.333333333333336</v>
      </c>
      <c r="C4" s="20">
        <v>28</v>
      </c>
      <c r="D4" s="17">
        <v>18</v>
      </c>
      <c r="E4" s="17">
        <v>48</v>
      </c>
      <c r="F4" s="18">
        <v>48</v>
      </c>
      <c r="G4" s="18">
        <v>30</v>
      </c>
      <c r="H4" s="29">
        <v>52</v>
      </c>
      <c r="I4" s="17">
        <v>13</v>
      </c>
      <c r="J4" s="17">
        <v>56</v>
      </c>
      <c r="K4" s="17">
        <v>12</v>
      </c>
      <c r="L4" s="17">
        <v>38</v>
      </c>
      <c r="M4" s="28">
        <v>53</v>
      </c>
      <c r="N4" s="29">
        <v>53</v>
      </c>
      <c r="O4" s="29">
        <v>85</v>
      </c>
      <c r="P4" s="29">
        <v>54</v>
      </c>
      <c r="Q4" s="29">
        <v>68</v>
      </c>
      <c r="R4" s="29">
        <v>75</v>
      </c>
      <c r="S4" s="29">
        <v>62</v>
      </c>
      <c r="T4" s="29">
        <v>89</v>
      </c>
      <c r="U4" s="29">
        <v>61</v>
      </c>
      <c r="V4" s="18">
        <v>73</v>
      </c>
      <c r="W4" s="25">
        <v>40</v>
      </c>
      <c r="X4" s="17">
        <v>38</v>
      </c>
      <c r="Y4" s="17">
        <v>73</v>
      </c>
      <c r="Z4" s="17">
        <v>39</v>
      </c>
      <c r="AA4" s="29">
        <v>54</v>
      </c>
      <c r="AB4" s="29">
        <v>70</v>
      </c>
      <c r="AC4" s="29">
        <v>38</v>
      </c>
      <c r="AD4" s="29">
        <v>89</v>
      </c>
      <c r="AE4" s="18">
        <v>44</v>
      </c>
      <c r="AF4" s="18">
        <v>71</v>
      </c>
    </row>
    <row r="5" spans="1:32" x14ac:dyDescent="0.25">
      <c r="A5" s="14" t="s">
        <v>15</v>
      </c>
      <c r="B5" s="19">
        <f t="shared" si="0"/>
        <v>39.333333333333336</v>
      </c>
      <c r="C5" s="20">
        <v>22</v>
      </c>
      <c r="D5" s="17">
        <v>12</v>
      </c>
      <c r="E5" s="17">
        <v>44</v>
      </c>
      <c r="F5" s="17">
        <v>32</v>
      </c>
      <c r="G5" s="18">
        <v>32</v>
      </c>
      <c r="H5" s="29">
        <v>52</v>
      </c>
      <c r="I5" s="17">
        <v>11</v>
      </c>
      <c r="J5" s="18">
        <v>67</v>
      </c>
      <c r="K5" s="17">
        <v>12</v>
      </c>
      <c r="L5" s="17">
        <v>33</v>
      </c>
      <c r="M5" s="28">
        <v>54</v>
      </c>
      <c r="N5" s="29">
        <v>53</v>
      </c>
      <c r="O5" s="29">
        <v>85</v>
      </c>
      <c r="P5" s="29">
        <v>46</v>
      </c>
      <c r="Q5" s="29">
        <v>65</v>
      </c>
      <c r="R5" s="29">
        <v>78</v>
      </c>
      <c r="S5" s="29">
        <v>59</v>
      </c>
      <c r="T5" s="29">
        <v>88</v>
      </c>
      <c r="U5" s="29">
        <v>54</v>
      </c>
      <c r="V5" s="29">
        <v>77</v>
      </c>
      <c r="W5" s="25">
        <v>42</v>
      </c>
      <c r="X5" s="17">
        <v>40</v>
      </c>
      <c r="Y5" s="17">
        <v>72</v>
      </c>
      <c r="Z5" s="17">
        <v>35</v>
      </c>
      <c r="AA5" s="29">
        <v>55</v>
      </c>
      <c r="AB5" s="29">
        <v>70</v>
      </c>
      <c r="AC5" s="29">
        <v>47</v>
      </c>
      <c r="AD5" s="29">
        <v>89</v>
      </c>
      <c r="AE5" s="29">
        <v>49</v>
      </c>
      <c r="AF5" s="18">
        <v>68</v>
      </c>
    </row>
    <row r="6" spans="1:32" x14ac:dyDescent="0.25">
      <c r="A6" s="14" t="s">
        <v>13</v>
      </c>
      <c r="B6" s="19">
        <f t="shared" si="0"/>
        <v>38</v>
      </c>
      <c r="C6" s="20">
        <v>25</v>
      </c>
      <c r="D6" s="17">
        <v>14</v>
      </c>
      <c r="E6" s="17">
        <v>48</v>
      </c>
      <c r="F6" s="17">
        <v>29</v>
      </c>
      <c r="G6" s="18">
        <v>31</v>
      </c>
      <c r="H6" s="29">
        <v>46</v>
      </c>
      <c r="I6" s="17">
        <v>13</v>
      </c>
      <c r="J6" s="17">
        <v>63</v>
      </c>
      <c r="K6" s="17">
        <v>15</v>
      </c>
      <c r="L6" s="17">
        <v>40</v>
      </c>
      <c r="M6" s="28">
        <v>48</v>
      </c>
      <c r="N6" s="29">
        <v>46</v>
      </c>
      <c r="O6" s="18">
        <v>80</v>
      </c>
      <c r="P6" s="18">
        <v>42</v>
      </c>
      <c r="Q6" s="29">
        <v>64</v>
      </c>
      <c r="R6" s="29">
        <v>73</v>
      </c>
      <c r="S6" s="29">
        <v>57</v>
      </c>
      <c r="T6" s="29">
        <v>84</v>
      </c>
      <c r="U6" s="29">
        <v>51</v>
      </c>
      <c r="V6" s="29">
        <v>79</v>
      </c>
      <c r="W6" s="25">
        <v>41</v>
      </c>
      <c r="X6" s="17">
        <v>39</v>
      </c>
      <c r="Y6" s="17">
        <v>71</v>
      </c>
      <c r="Z6" s="17">
        <v>32</v>
      </c>
      <c r="AA6" s="29">
        <v>54</v>
      </c>
      <c r="AB6" s="29">
        <v>64</v>
      </c>
      <c r="AC6" s="29">
        <v>54</v>
      </c>
      <c r="AD6" s="29">
        <v>89</v>
      </c>
      <c r="AE6" s="29">
        <v>51</v>
      </c>
      <c r="AF6" s="18">
        <v>70</v>
      </c>
    </row>
    <row r="7" spans="1:32" x14ac:dyDescent="0.25">
      <c r="A7" s="14" t="s">
        <v>16</v>
      </c>
      <c r="B7" s="19">
        <f t="shared" si="0"/>
        <v>35.666666666666664</v>
      </c>
      <c r="C7" s="20">
        <v>22</v>
      </c>
      <c r="D7" s="17">
        <v>16</v>
      </c>
      <c r="E7" s="17">
        <v>38</v>
      </c>
      <c r="F7" s="17">
        <v>34</v>
      </c>
      <c r="G7" s="17">
        <v>24</v>
      </c>
      <c r="H7" s="29">
        <v>46</v>
      </c>
      <c r="I7" s="18">
        <v>17</v>
      </c>
      <c r="J7" s="17">
        <v>53</v>
      </c>
      <c r="K7" s="17">
        <v>10</v>
      </c>
      <c r="L7" s="17">
        <v>37</v>
      </c>
      <c r="M7" s="28">
        <v>49</v>
      </c>
      <c r="N7" s="29">
        <v>47</v>
      </c>
      <c r="O7" s="29">
        <v>82</v>
      </c>
      <c r="P7" s="29">
        <v>54</v>
      </c>
      <c r="Q7" s="29">
        <v>65</v>
      </c>
      <c r="R7" s="29">
        <v>73</v>
      </c>
      <c r="S7" s="29">
        <v>57</v>
      </c>
      <c r="T7" s="29">
        <v>85</v>
      </c>
      <c r="U7" s="29">
        <v>52</v>
      </c>
      <c r="V7" s="18">
        <v>72</v>
      </c>
      <c r="W7" s="25">
        <v>36</v>
      </c>
      <c r="X7" s="17">
        <v>34</v>
      </c>
      <c r="Y7" s="17">
        <v>66</v>
      </c>
      <c r="Z7" s="17">
        <v>34</v>
      </c>
      <c r="AA7" s="29">
        <v>48</v>
      </c>
      <c r="AB7" s="29">
        <v>68</v>
      </c>
      <c r="AC7" s="29">
        <v>42</v>
      </c>
      <c r="AD7" s="29">
        <v>81</v>
      </c>
      <c r="AE7" s="18">
        <v>48</v>
      </c>
      <c r="AF7" s="17">
        <v>59</v>
      </c>
    </row>
    <row r="8" spans="1:32" x14ac:dyDescent="0.25">
      <c r="A8" s="14" t="s">
        <v>14</v>
      </c>
      <c r="B8" s="19">
        <f t="shared" si="0"/>
        <v>35.333333333333336</v>
      </c>
      <c r="C8" s="20">
        <v>23</v>
      </c>
      <c r="D8" s="17">
        <v>13</v>
      </c>
      <c r="E8" s="17">
        <v>47</v>
      </c>
      <c r="F8" s="17">
        <v>36</v>
      </c>
      <c r="G8" s="17">
        <v>25</v>
      </c>
      <c r="H8" s="29">
        <v>45</v>
      </c>
      <c r="I8" s="17">
        <v>11</v>
      </c>
      <c r="J8" s="18">
        <v>64</v>
      </c>
      <c r="K8" s="17">
        <v>11</v>
      </c>
      <c r="L8" s="17">
        <v>40</v>
      </c>
      <c r="M8" s="28">
        <v>46</v>
      </c>
      <c r="N8" s="29">
        <v>46</v>
      </c>
      <c r="O8" s="18">
        <v>78</v>
      </c>
      <c r="P8" s="29">
        <v>46</v>
      </c>
      <c r="Q8" s="29">
        <v>61</v>
      </c>
      <c r="R8" s="29">
        <v>69</v>
      </c>
      <c r="S8" s="29">
        <v>51</v>
      </c>
      <c r="T8" s="29">
        <v>83</v>
      </c>
      <c r="U8" s="29">
        <v>46</v>
      </c>
      <c r="V8" s="18">
        <v>71</v>
      </c>
      <c r="W8" s="25">
        <v>37</v>
      </c>
      <c r="X8" s="17">
        <v>34</v>
      </c>
      <c r="Y8" s="17">
        <v>66</v>
      </c>
      <c r="Z8" s="17">
        <v>37</v>
      </c>
      <c r="AA8" s="29">
        <v>48</v>
      </c>
      <c r="AB8" s="29">
        <v>65</v>
      </c>
      <c r="AC8" s="29">
        <v>42</v>
      </c>
      <c r="AD8" s="29">
        <v>86</v>
      </c>
      <c r="AE8" s="18">
        <v>45</v>
      </c>
      <c r="AF8" s="17">
        <v>63</v>
      </c>
    </row>
    <row r="9" spans="1:32" x14ac:dyDescent="0.25">
      <c r="A9" s="14" t="s">
        <v>17</v>
      </c>
      <c r="B9" s="19">
        <f t="shared" si="0"/>
        <v>34.333333333333336</v>
      </c>
      <c r="C9" s="20">
        <v>19</v>
      </c>
      <c r="D9" s="17">
        <v>11</v>
      </c>
      <c r="E9" s="17">
        <v>35</v>
      </c>
      <c r="F9" s="17">
        <v>31</v>
      </c>
      <c r="G9" s="17">
        <v>25</v>
      </c>
      <c r="H9" s="18">
        <v>41</v>
      </c>
      <c r="I9" s="17">
        <v>9</v>
      </c>
      <c r="J9" s="17">
        <v>47</v>
      </c>
      <c r="K9" s="17">
        <v>13</v>
      </c>
      <c r="L9" s="17">
        <v>35</v>
      </c>
      <c r="M9" s="25">
        <v>44</v>
      </c>
      <c r="N9" s="29">
        <v>44</v>
      </c>
      <c r="O9" s="17">
        <v>73</v>
      </c>
      <c r="P9" s="17">
        <v>40</v>
      </c>
      <c r="Q9" s="29">
        <v>57</v>
      </c>
      <c r="R9" s="29">
        <v>68</v>
      </c>
      <c r="S9" s="29">
        <v>49</v>
      </c>
      <c r="T9" s="29">
        <v>83</v>
      </c>
      <c r="U9" s="29">
        <v>54</v>
      </c>
      <c r="V9" s="18">
        <v>69</v>
      </c>
      <c r="W9" s="25">
        <v>40</v>
      </c>
      <c r="X9" s="17">
        <v>39</v>
      </c>
      <c r="Y9" s="17">
        <v>71</v>
      </c>
      <c r="Z9" s="17">
        <v>36</v>
      </c>
      <c r="AA9" s="29">
        <v>55</v>
      </c>
      <c r="AB9" s="29">
        <v>71</v>
      </c>
      <c r="AC9" s="29">
        <v>49</v>
      </c>
      <c r="AD9" s="29">
        <v>91</v>
      </c>
      <c r="AE9" s="29">
        <v>52</v>
      </c>
      <c r="AF9" s="18">
        <v>68</v>
      </c>
    </row>
    <row r="10" spans="1:32" x14ac:dyDescent="0.25">
      <c r="A10" s="14" t="s">
        <v>18</v>
      </c>
      <c r="B10" s="19">
        <f t="shared" si="0"/>
        <v>33.666666666666664</v>
      </c>
      <c r="C10" s="20">
        <v>17</v>
      </c>
      <c r="D10" s="17">
        <v>10</v>
      </c>
      <c r="E10" s="17">
        <v>34</v>
      </c>
      <c r="F10" s="17">
        <v>23</v>
      </c>
      <c r="G10" s="17">
        <v>19</v>
      </c>
      <c r="H10" s="18">
        <v>41</v>
      </c>
      <c r="I10" s="17">
        <v>11</v>
      </c>
      <c r="J10" s="17">
        <v>48</v>
      </c>
      <c r="K10" s="17">
        <v>11</v>
      </c>
      <c r="L10" s="17">
        <v>33</v>
      </c>
      <c r="M10" s="25">
        <v>43</v>
      </c>
      <c r="N10" s="18">
        <v>42</v>
      </c>
      <c r="O10" s="17">
        <v>75</v>
      </c>
      <c r="P10" s="17">
        <v>40</v>
      </c>
      <c r="Q10" s="29">
        <v>54</v>
      </c>
      <c r="R10" s="29">
        <v>71</v>
      </c>
      <c r="S10" s="29">
        <v>51</v>
      </c>
      <c r="T10" s="29">
        <v>83</v>
      </c>
      <c r="U10" s="29">
        <v>46</v>
      </c>
      <c r="V10" s="18">
        <v>70</v>
      </c>
      <c r="W10" s="25">
        <v>41</v>
      </c>
      <c r="X10" s="17">
        <v>44</v>
      </c>
      <c r="Y10" s="17">
        <v>63</v>
      </c>
      <c r="Z10" s="17">
        <v>31</v>
      </c>
      <c r="AA10" s="29">
        <v>56</v>
      </c>
      <c r="AB10" s="29">
        <v>61</v>
      </c>
      <c r="AC10" s="29">
        <v>44</v>
      </c>
      <c r="AD10" s="29">
        <v>82</v>
      </c>
      <c r="AE10" s="29">
        <v>49</v>
      </c>
      <c r="AF10" s="17">
        <v>66</v>
      </c>
    </row>
    <row r="14" spans="1:32" ht="47.25" customHeight="1" x14ac:dyDescent="0.25">
      <c r="A14" s="30" t="s">
        <v>23</v>
      </c>
      <c r="B14" s="30"/>
    </row>
    <row r="15" spans="1:32" x14ac:dyDescent="0.25">
      <c r="A15" s="22" t="s">
        <v>24</v>
      </c>
      <c r="B15"/>
    </row>
    <row r="16" spans="1:32" x14ac:dyDescent="0.25">
      <c r="A16" s="23" t="s">
        <v>25</v>
      </c>
      <c r="B16"/>
    </row>
    <row r="17" spans="1:2" x14ac:dyDescent="0.25">
      <c r="A17" s="24" t="s">
        <v>26</v>
      </c>
      <c r="B17"/>
    </row>
  </sheetData>
  <autoFilter ref="A2:AF2" xr:uid="{83FA308F-7C66-48DF-BF79-B95CB1241B47}">
    <sortState xmlns:xlrd2="http://schemas.microsoft.com/office/spreadsheetml/2017/richdata2" ref="A3:AF10">
      <sortCondition descending="1" ref="B2"/>
    </sortState>
  </autoFilter>
  <mergeCells count="1">
    <mergeCell ref="A14:B14"/>
  </mergeCells>
  <conditionalFormatting sqref="B3:B10">
    <cfRule type="colorScale" priority="1">
      <colorScale>
        <cfvo type="min"/>
        <cfvo type="max"/>
        <color rgb="FFFCFCFF"/>
        <color rgb="FF63BE7B"/>
      </colorScale>
    </cfRule>
  </conditionalFormatting>
  <conditionalFormatting sqref="C3:C10">
    <cfRule type="colorScale" priority="4">
      <colorScale>
        <cfvo type="min"/>
        <cfvo type="max"/>
        <color rgb="FFFCFCFF"/>
        <color rgb="FF63BE7B"/>
      </colorScale>
    </cfRule>
  </conditionalFormatting>
  <conditionalFormatting sqref="M3:M10">
    <cfRule type="colorScale" priority="3">
      <colorScale>
        <cfvo type="min"/>
        <cfvo type="max"/>
        <color rgb="FFFCFCFF"/>
        <color rgb="FF63BE7B"/>
      </colorScale>
    </cfRule>
  </conditionalFormatting>
  <conditionalFormatting sqref="W3:W10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Rajsnerová</dc:creator>
  <cp:lastModifiedBy>Peter Javornický</cp:lastModifiedBy>
  <dcterms:created xsi:type="dcterms:W3CDTF">2025-07-14T12:18:06Z</dcterms:created>
  <dcterms:modified xsi:type="dcterms:W3CDTF">2025-12-16T10:59:17Z</dcterms:modified>
</cp:coreProperties>
</file>