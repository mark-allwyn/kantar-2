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peter_javornicky_kantar_com/Documents/Desktop/Pracovne/# 1 Clients/Allwyn/2025/# Data pro AI/61405445-01_QN_iGaming Concept Evaluate/"/>
    </mc:Choice>
  </mc:AlternateContent>
  <xr:revisionPtr revIDLastSave="2" documentId="13_ncr:1_{9F4F13FC-C19B-4C71-B41B-483A6DF1EB0A}" xr6:coauthVersionLast="47" xr6:coauthVersionMax="47" xr10:uidLastSave="{A4E179ED-ADFB-47A9-9DA6-0FBF2A92C12C}"/>
  <bookViews>
    <workbookView xWindow="-120" yWindow="-120" windowWidth="29040" windowHeight="15720" xr2:uid="{BD91054D-4090-4AF0-B2A6-5BC1A25EB2B2}"/>
  </bookViews>
  <sheets>
    <sheet name="Category Buyers" sheetId="1" r:id="rId1"/>
  </sheets>
  <definedNames>
    <definedName name="_xlnm._FilterDatabase" localSheetId="0" hidden="1">'Category Buyers'!$A$2:$AZ$2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5" i="1"/>
  <c r="B7" i="1"/>
  <c r="B6" i="1"/>
  <c r="B4" i="1"/>
</calcChain>
</file>

<file path=xl/sharedStrings.xml><?xml version="1.0" encoding="utf-8"?>
<sst xmlns="http://schemas.openxmlformats.org/spreadsheetml/2006/main" count="66" uniqueCount="26">
  <si>
    <t>Concept Name</t>
  </si>
  <si>
    <t>Trial</t>
  </si>
  <si>
    <t>Pur. Intent (%Top)</t>
  </si>
  <si>
    <t>Pur. Intent (%Top 2)</t>
  </si>
  <si>
    <t>Price Value (%Top 2)</t>
  </si>
  <si>
    <t>Appeal (%Top 2)</t>
  </si>
  <si>
    <t>Uniqueness (%Top 2)</t>
  </si>
  <si>
    <t>Relevance (%Top 2)</t>
  </si>
  <si>
    <t>Excitement (%Top 2)</t>
  </si>
  <si>
    <t>Believability (%Top)</t>
  </si>
  <si>
    <t>Understanding (%Top 3)</t>
  </si>
  <si>
    <t>CZ</t>
  </si>
  <si>
    <t>US</t>
  </si>
  <si>
    <t>UK</t>
  </si>
  <si>
    <t>Average Trial</t>
  </si>
  <si>
    <t>Compared to ConceptEvaluate country norms (Total sample only)</t>
  </si>
  <si>
    <t>Top 25%</t>
  </si>
  <si>
    <t>25%-50%</t>
  </si>
  <si>
    <t>Bottom 50%</t>
  </si>
  <si>
    <t>AT</t>
  </si>
  <si>
    <t>1 Bet-Volume Must-Win Jackpots</t>
  </si>
  <si>
    <t>Happy Hour</t>
  </si>
  <si>
    <t>Pulse Play</t>
  </si>
  <si>
    <t>Standard or VIP Mode</t>
  </si>
  <si>
    <t>Time-Locked Must-Win Jackpots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</si>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</sst>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sz val="11"/>
      <color rgb="FFDAA600"/>
      <name val="Calibri"/>
      <family val="2"/>
    </font>
    <font>
      <b/>
      <sz val="11"/>
      <color rgb="FFDAA6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9"/>
      <name val="Calibri"/>
      <family val="2"/>
    </font>
    <font>
      <sz val="11"/>
      <color theme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8" fillId="6" borderId="0" xfId="0" applyFont="1" applyFill="1"/>
    <xf numFmtId="0" fontId="7" fillId="6" borderId="0" xfId="0" applyFont="1" applyFill="1"/>
    <xf numFmtId="0" fontId="7" fillId="6" borderId="0" xfId="0" applyFont="1" applyFill="1" applyAlignment="1">
      <alignment wrapText="1"/>
    </xf>
    <xf numFmtId="0" fontId="8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wrapText="1"/>
    </xf>
    <xf numFmtId="0" fontId="2" fillId="7" borderId="0" xfId="0" applyFont="1" applyFill="1"/>
    <xf numFmtId="0" fontId="7" fillId="7" borderId="0" xfId="0" applyFont="1" applyFill="1"/>
    <xf numFmtId="0" fontId="7" fillId="7" borderId="0" xfId="0" applyFont="1" applyFill="1" applyAlignment="1">
      <alignment wrapText="1"/>
    </xf>
    <xf numFmtId="0" fontId="9" fillId="4" borderId="0" xfId="0" applyFont="1" applyFill="1"/>
    <xf numFmtId="0" fontId="7" fillId="4" borderId="0" xfId="0" applyFont="1" applyFill="1"/>
    <xf numFmtId="0" fontId="7" fillId="4" borderId="0" xfId="0" applyFont="1" applyFill="1" applyAlignment="1">
      <alignment wrapText="1"/>
    </xf>
    <xf numFmtId="0" fontId="8" fillId="5" borderId="0" xfId="0" applyFont="1" applyFill="1"/>
    <xf numFmtId="0" fontId="7" fillId="5" borderId="0" xfId="0" applyFont="1" applyFill="1"/>
    <xf numFmtId="0" fontId="7" fillId="5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7" fillId="0" borderId="0" xfId="0" applyFont="1"/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8" fillId="0" borderId="0" xfId="0" applyFont="1" applyAlignment="1">
      <alignment horizontal="left" wrapText="1"/>
    </xf>
  </cellXfs>
  <cellStyles count="2">
    <cellStyle name="Normal" xfId="0" builtinId="0"/>
    <cellStyle name="Normal 2" xfId="1" xr:uid="{DB95FAF2-63F6-4084-81C4-F6044F527EBF}"/>
  </cellStyles>
  <dxfs count="0"/>
  <tableStyles count="0" defaultTableStyle="TableStyleMedium2" defaultPivotStyle="PivotStyleLight16"/>
  <colors>
    <mruColors>
      <color rgb="FFDA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308F-7C66-48DF-BF79-B95CB1241B47}">
  <dimension ref="A1:AZ13"/>
  <sheetViews>
    <sheetView tabSelected="1" zoomScale="90" zoomScaleNormal="90" workbookViewId="0">
      <selection activeCell="A14" sqref="A14"/>
    </sheetView>
  </sheetViews>
  <sheetFormatPr defaultColWidth="9.140625" defaultRowHeight="15" x14ac:dyDescent="0.25"/>
  <cols>
    <col min="1" max="1" width="30.85546875" style="4" bestFit="1" customWidth="1"/>
    <col min="2" max="2" width="6.85546875" style="4" customWidth="1"/>
    <col min="3" max="3" width="6.85546875" style="25" customWidth="1"/>
    <col min="4" max="12" width="6.85546875" style="20" customWidth="1"/>
    <col min="13" max="13" width="6.85546875" style="25" customWidth="1"/>
    <col min="14" max="22" width="6.85546875" style="20" customWidth="1"/>
    <col min="23" max="23" width="6.85546875" style="25" customWidth="1"/>
    <col min="24" max="32" width="6.85546875" style="20" customWidth="1"/>
    <col min="33" max="33" width="6.85546875" style="25" customWidth="1"/>
    <col min="34" max="42" width="6.85546875" style="20" customWidth="1"/>
    <col min="43" max="43" width="6.85546875" style="25" customWidth="1"/>
    <col min="44" max="52" width="6.85546875" style="20" customWidth="1"/>
    <col min="53" max="67" width="22.7109375" style="20" customWidth="1"/>
    <col min="68" max="16384" width="9.140625" style="20"/>
  </cols>
  <sheetData>
    <row r="1" spans="1:52" x14ac:dyDescent="0.25">
      <c r="C1" s="5" t="s">
        <v>19</v>
      </c>
      <c r="D1" s="6"/>
      <c r="E1" s="6"/>
      <c r="F1" s="6"/>
      <c r="G1" s="6"/>
      <c r="H1" s="7"/>
      <c r="I1" s="7"/>
      <c r="J1" s="7"/>
      <c r="K1" s="7"/>
      <c r="L1" s="7"/>
      <c r="M1" s="8" t="s">
        <v>11</v>
      </c>
      <c r="N1" s="9"/>
      <c r="O1" s="9"/>
      <c r="P1" s="9"/>
      <c r="Q1" s="9"/>
      <c r="R1" s="10"/>
      <c r="S1" s="10"/>
      <c r="T1" s="10"/>
      <c r="U1" s="10"/>
      <c r="V1" s="10"/>
      <c r="W1" s="11" t="s">
        <v>25</v>
      </c>
      <c r="X1" s="12"/>
      <c r="Y1" s="12"/>
      <c r="Z1" s="12"/>
      <c r="AA1" s="12"/>
      <c r="AB1" s="13"/>
      <c r="AC1" s="13"/>
      <c r="AD1" s="13"/>
      <c r="AE1" s="13"/>
      <c r="AF1" s="13"/>
      <c r="AG1" s="14" t="s">
        <v>13</v>
      </c>
      <c r="AH1" s="15"/>
      <c r="AI1" s="15"/>
      <c r="AJ1" s="15"/>
      <c r="AK1" s="15"/>
      <c r="AL1" s="16"/>
      <c r="AM1" s="16"/>
      <c r="AN1" s="16"/>
      <c r="AO1" s="16"/>
      <c r="AP1" s="16"/>
      <c r="AQ1" s="17" t="s">
        <v>12</v>
      </c>
      <c r="AR1" s="18"/>
      <c r="AS1" s="18"/>
      <c r="AT1" s="18"/>
      <c r="AU1" s="18"/>
      <c r="AV1" s="19"/>
      <c r="AW1" s="19"/>
      <c r="AX1" s="19"/>
      <c r="AY1" s="19"/>
      <c r="AZ1" s="19"/>
    </row>
    <row r="2" spans="1:52" ht="75" x14ac:dyDescent="0.25">
      <c r="A2" s="21" t="s">
        <v>0</v>
      </c>
      <c r="B2" s="22" t="s">
        <v>14</v>
      </c>
      <c r="C2" s="22" t="s">
        <v>1</v>
      </c>
      <c r="D2" s="22" t="s">
        <v>2</v>
      </c>
      <c r="E2" s="22" t="s">
        <v>3</v>
      </c>
      <c r="F2" s="22" t="s">
        <v>4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L2" s="22" t="s">
        <v>10</v>
      </c>
      <c r="M2" s="22" t="s">
        <v>1</v>
      </c>
      <c r="N2" s="22" t="s">
        <v>2</v>
      </c>
      <c r="O2" s="22" t="s">
        <v>3</v>
      </c>
      <c r="P2" s="22" t="s">
        <v>4</v>
      </c>
      <c r="Q2" s="22" t="s">
        <v>5</v>
      </c>
      <c r="R2" s="22" t="s">
        <v>6</v>
      </c>
      <c r="S2" s="22" t="s">
        <v>7</v>
      </c>
      <c r="T2" s="22" t="s">
        <v>8</v>
      </c>
      <c r="U2" s="22" t="s">
        <v>9</v>
      </c>
      <c r="V2" s="22" t="s">
        <v>10</v>
      </c>
      <c r="W2" s="22" t="s">
        <v>1</v>
      </c>
      <c r="X2" s="22" t="s">
        <v>2</v>
      </c>
      <c r="Y2" s="22" t="s">
        <v>3</v>
      </c>
      <c r="Z2" s="22" t="s">
        <v>4</v>
      </c>
      <c r="AA2" s="22" t="s">
        <v>5</v>
      </c>
      <c r="AB2" s="22" t="s">
        <v>6</v>
      </c>
      <c r="AC2" s="22" t="s">
        <v>7</v>
      </c>
      <c r="AD2" s="22" t="s">
        <v>8</v>
      </c>
      <c r="AE2" s="22" t="s">
        <v>9</v>
      </c>
      <c r="AF2" s="22" t="s">
        <v>10</v>
      </c>
      <c r="AG2" s="22" t="s">
        <v>1</v>
      </c>
      <c r="AH2" s="22" t="s">
        <v>2</v>
      </c>
      <c r="AI2" s="22" t="s">
        <v>3</v>
      </c>
      <c r="AJ2" s="22" t="s">
        <v>4</v>
      </c>
      <c r="AK2" s="22" t="s">
        <v>5</v>
      </c>
      <c r="AL2" s="22" t="s">
        <v>6</v>
      </c>
      <c r="AM2" s="22" t="s">
        <v>7</v>
      </c>
      <c r="AN2" s="22" t="s">
        <v>8</v>
      </c>
      <c r="AO2" s="22" t="s">
        <v>9</v>
      </c>
      <c r="AP2" s="22" t="s">
        <v>10</v>
      </c>
      <c r="AQ2" s="22" t="s">
        <v>1</v>
      </c>
      <c r="AR2" s="22" t="s">
        <v>2</v>
      </c>
      <c r="AS2" s="22" t="s">
        <v>3</v>
      </c>
      <c r="AT2" s="22" t="s">
        <v>4</v>
      </c>
      <c r="AU2" s="22" t="s">
        <v>5</v>
      </c>
      <c r="AV2" s="22" t="s">
        <v>6</v>
      </c>
      <c r="AW2" s="22" t="s">
        <v>7</v>
      </c>
      <c r="AX2" s="22" t="s">
        <v>8</v>
      </c>
      <c r="AY2" s="22" t="s">
        <v>9</v>
      </c>
      <c r="AZ2" s="22" t="s">
        <v>10</v>
      </c>
    </row>
    <row r="3" spans="1:52" x14ac:dyDescent="0.25">
      <c r="A3" s="23" t="s">
        <v>21</v>
      </c>
      <c r="B3" s="32">
        <f>AVERAGE(C3,M3,W3,AG3,AQ3)</f>
        <v>51</v>
      </c>
      <c r="C3" s="30">
        <v>53</v>
      </c>
      <c r="D3" s="29">
        <v>51</v>
      </c>
      <c r="E3" s="29">
        <v>86</v>
      </c>
      <c r="F3" s="1">
        <v>22</v>
      </c>
      <c r="G3" s="29">
        <v>66</v>
      </c>
      <c r="H3" s="29">
        <v>70</v>
      </c>
      <c r="I3" s="29">
        <v>39</v>
      </c>
      <c r="J3" s="29">
        <v>86</v>
      </c>
      <c r="K3" s="29">
        <v>43</v>
      </c>
      <c r="L3" s="29">
        <v>80</v>
      </c>
      <c r="M3" s="30">
        <v>44</v>
      </c>
      <c r="N3" s="2">
        <v>31</v>
      </c>
      <c r="O3" s="2">
        <v>67</v>
      </c>
      <c r="P3" s="1">
        <v>23</v>
      </c>
      <c r="Q3" s="29">
        <v>41</v>
      </c>
      <c r="R3" s="29">
        <v>52</v>
      </c>
      <c r="S3" s="2">
        <v>22</v>
      </c>
      <c r="T3" s="2">
        <v>71</v>
      </c>
      <c r="U3" s="29">
        <v>26</v>
      </c>
      <c r="V3" s="2">
        <v>57</v>
      </c>
      <c r="W3" s="30">
        <v>35</v>
      </c>
      <c r="X3" s="2">
        <v>43</v>
      </c>
      <c r="Y3" s="2">
        <v>81</v>
      </c>
      <c r="Z3" s="1">
        <v>17</v>
      </c>
      <c r="AA3" s="29">
        <v>49</v>
      </c>
      <c r="AB3" s="29">
        <v>68</v>
      </c>
      <c r="AC3" s="29">
        <v>51</v>
      </c>
      <c r="AD3" s="29">
        <v>84</v>
      </c>
      <c r="AE3" s="29">
        <v>42</v>
      </c>
      <c r="AF3" s="2">
        <v>63</v>
      </c>
      <c r="AG3" s="30">
        <v>57</v>
      </c>
      <c r="AH3" s="29">
        <v>53</v>
      </c>
      <c r="AI3" s="29">
        <v>92</v>
      </c>
      <c r="AJ3" s="29">
        <v>51</v>
      </c>
      <c r="AK3" s="29">
        <v>70</v>
      </c>
      <c r="AL3" s="29">
        <v>84</v>
      </c>
      <c r="AM3" s="29">
        <v>67</v>
      </c>
      <c r="AN3" s="29">
        <v>94</v>
      </c>
      <c r="AO3" s="29">
        <v>54</v>
      </c>
      <c r="AP3" s="29">
        <v>81</v>
      </c>
      <c r="AQ3" s="30">
        <v>66</v>
      </c>
      <c r="AR3" s="29">
        <v>70</v>
      </c>
      <c r="AS3" s="29">
        <v>98</v>
      </c>
      <c r="AT3" s="2">
        <v>50</v>
      </c>
      <c r="AU3" s="29">
        <v>81</v>
      </c>
      <c r="AV3" s="29">
        <v>85</v>
      </c>
      <c r="AW3" s="29">
        <v>79</v>
      </c>
      <c r="AX3" s="29">
        <v>92</v>
      </c>
      <c r="AY3" s="29">
        <v>73</v>
      </c>
      <c r="AZ3" s="29">
        <v>87</v>
      </c>
    </row>
    <row r="4" spans="1:52" x14ac:dyDescent="0.25">
      <c r="A4" s="23" t="s">
        <v>20</v>
      </c>
      <c r="B4" s="32">
        <f>AVERAGE(C4,M4,W4,AG4,AQ4)</f>
        <v>46.6</v>
      </c>
      <c r="C4" s="30">
        <v>54</v>
      </c>
      <c r="D4" s="29">
        <v>52</v>
      </c>
      <c r="E4" s="29">
        <v>86</v>
      </c>
      <c r="F4" s="1">
        <v>26</v>
      </c>
      <c r="G4" s="29">
        <v>69</v>
      </c>
      <c r="H4" s="29">
        <v>75</v>
      </c>
      <c r="I4" s="29">
        <v>43</v>
      </c>
      <c r="J4" s="29">
        <v>91</v>
      </c>
      <c r="K4" s="29">
        <v>41</v>
      </c>
      <c r="L4" s="29">
        <v>79</v>
      </c>
      <c r="M4" s="31">
        <v>35</v>
      </c>
      <c r="N4" s="1">
        <v>24</v>
      </c>
      <c r="O4" s="2">
        <v>59</v>
      </c>
      <c r="P4" s="1">
        <v>34</v>
      </c>
      <c r="Q4" s="2">
        <v>31</v>
      </c>
      <c r="R4" s="29">
        <v>50</v>
      </c>
      <c r="S4" s="2">
        <v>22</v>
      </c>
      <c r="T4" s="2">
        <v>67</v>
      </c>
      <c r="U4" s="29">
        <v>25</v>
      </c>
      <c r="V4" s="2">
        <v>56</v>
      </c>
      <c r="W4" s="31">
        <v>27</v>
      </c>
      <c r="X4" s="1">
        <v>29</v>
      </c>
      <c r="Y4" s="1">
        <v>72</v>
      </c>
      <c r="Z4" s="1">
        <v>26</v>
      </c>
      <c r="AA4" s="29">
        <v>41</v>
      </c>
      <c r="AB4" s="29">
        <v>57</v>
      </c>
      <c r="AC4" s="29">
        <v>42</v>
      </c>
      <c r="AD4" s="29">
        <v>79</v>
      </c>
      <c r="AE4" s="29">
        <v>32</v>
      </c>
      <c r="AF4" s="2">
        <v>59</v>
      </c>
      <c r="AG4" s="30">
        <v>58</v>
      </c>
      <c r="AH4" s="29">
        <v>56</v>
      </c>
      <c r="AI4" s="29">
        <v>90</v>
      </c>
      <c r="AJ4" s="29">
        <v>61</v>
      </c>
      <c r="AK4" s="29">
        <v>73</v>
      </c>
      <c r="AL4" s="29">
        <v>81</v>
      </c>
      <c r="AM4" s="29">
        <v>71</v>
      </c>
      <c r="AN4" s="29">
        <v>95</v>
      </c>
      <c r="AO4" s="29">
        <v>59</v>
      </c>
      <c r="AP4" s="29">
        <v>87</v>
      </c>
      <c r="AQ4" s="30">
        <v>59</v>
      </c>
      <c r="AR4" s="2">
        <v>60</v>
      </c>
      <c r="AS4" s="29">
        <v>92</v>
      </c>
      <c r="AT4" s="2">
        <v>55</v>
      </c>
      <c r="AU4" s="29">
        <v>76</v>
      </c>
      <c r="AV4" s="29">
        <v>83</v>
      </c>
      <c r="AW4" s="29">
        <v>71</v>
      </c>
      <c r="AX4" s="29">
        <v>98</v>
      </c>
      <c r="AY4" s="29">
        <v>65</v>
      </c>
      <c r="AZ4" s="29">
        <v>79</v>
      </c>
    </row>
    <row r="5" spans="1:52" x14ac:dyDescent="0.25">
      <c r="A5" s="23" t="s">
        <v>22</v>
      </c>
      <c r="B5" s="32">
        <f>AVERAGE(C5,M5,W5,AG5,AQ5)</f>
        <v>46.6</v>
      </c>
      <c r="C5" s="30">
        <v>49</v>
      </c>
      <c r="D5" s="29">
        <v>48</v>
      </c>
      <c r="E5" s="29">
        <v>78</v>
      </c>
      <c r="F5" s="1">
        <v>24</v>
      </c>
      <c r="G5" s="29">
        <v>59</v>
      </c>
      <c r="H5" s="29">
        <v>82</v>
      </c>
      <c r="I5" s="29">
        <v>37</v>
      </c>
      <c r="J5" s="29">
        <v>85</v>
      </c>
      <c r="K5" s="29">
        <v>43</v>
      </c>
      <c r="L5" s="29">
        <v>70</v>
      </c>
      <c r="M5" s="31">
        <v>39</v>
      </c>
      <c r="N5" s="1">
        <v>26</v>
      </c>
      <c r="O5" s="1">
        <v>65</v>
      </c>
      <c r="P5" s="1">
        <v>36</v>
      </c>
      <c r="Q5" s="29">
        <v>42</v>
      </c>
      <c r="R5" s="29">
        <v>53</v>
      </c>
      <c r="S5" s="29">
        <v>24</v>
      </c>
      <c r="T5" s="2">
        <v>69</v>
      </c>
      <c r="U5" s="29">
        <v>26</v>
      </c>
      <c r="V5" s="1">
        <v>52</v>
      </c>
      <c r="W5" s="31">
        <v>29</v>
      </c>
      <c r="X5" s="2">
        <v>35</v>
      </c>
      <c r="Y5" s="1">
        <v>68</v>
      </c>
      <c r="Z5" s="1">
        <v>21</v>
      </c>
      <c r="AA5" s="29">
        <v>45</v>
      </c>
      <c r="AB5" s="29">
        <v>66</v>
      </c>
      <c r="AC5" s="29">
        <v>46</v>
      </c>
      <c r="AD5" s="29">
        <v>80</v>
      </c>
      <c r="AE5" s="29">
        <v>29</v>
      </c>
      <c r="AF5" s="2">
        <v>58</v>
      </c>
      <c r="AG5" s="30">
        <v>53</v>
      </c>
      <c r="AH5" s="29">
        <v>50</v>
      </c>
      <c r="AI5" s="29">
        <v>87</v>
      </c>
      <c r="AJ5" s="29">
        <v>56</v>
      </c>
      <c r="AK5" s="29">
        <v>67</v>
      </c>
      <c r="AL5" s="29">
        <v>76</v>
      </c>
      <c r="AM5" s="29">
        <v>62</v>
      </c>
      <c r="AN5" s="29">
        <v>90</v>
      </c>
      <c r="AO5" s="29">
        <v>46</v>
      </c>
      <c r="AP5" s="29">
        <v>79</v>
      </c>
      <c r="AQ5" s="30">
        <v>63</v>
      </c>
      <c r="AR5" s="29">
        <v>66</v>
      </c>
      <c r="AS5" s="29">
        <v>93</v>
      </c>
      <c r="AT5" s="2">
        <v>58</v>
      </c>
      <c r="AU5" s="29">
        <v>75</v>
      </c>
      <c r="AV5" s="29">
        <v>83</v>
      </c>
      <c r="AW5" s="29">
        <v>81</v>
      </c>
      <c r="AX5" s="29">
        <v>93</v>
      </c>
      <c r="AY5" s="29">
        <v>63</v>
      </c>
      <c r="AZ5" s="29">
        <v>78</v>
      </c>
    </row>
    <row r="6" spans="1:52" x14ac:dyDescent="0.25">
      <c r="A6" s="23" t="s">
        <v>24</v>
      </c>
      <c r="B6" s="32">
        <f>AVERAGE(C6,M6,W6,AG6,AQ6)</f>
        <v>45.8</v>
      </c>
      <c r="C6" s="30">
        <v>54</v>
      </c>
      <c r="D6" s="29">
        <v>51</v>
      </c>
      <c r="E6" s="29">
        <v>85</v>
      </c>
      <c r="F6" s="1">
        <v>28</v>
      </c>
      <c r="G6" s="29">
        <v>64</v>
      </c>
      <c r="H6" s="29">
        <v>75</v>
      </c>
      <c r="I6" s="29">
        <v>43</v>
      </c>
      <c r="J6" s="29">
        <v>85</v>
      </c>
      <c r="K6" s="29">
        <v>47</v>
      </c>
      <c r="L6" s="29">
        <v>85</v>
      </c>
      <c r="M6" s="33">
        <v>29</v>
      </c>
      <c r="N6" s="1">
        <v>22</v>
      </c>
      <c r="O6" s="1">
        <v>49</v>
      </c>
      <c r="P6" s="1">
        <v>37</v>
      </c>
      <c r="Q6" s="2">
        <v>30</v>
      </c>
      <c r="R6" s="29">
        <v>47</v>
      </c>
      <c r="S6" s="2">
        <v>21</v>
      </c>
      <c r="T6" s="1">
        <v>63</v>
      </c>
      <c r="U6" s="2">
        <v>24</v>
      </c>
      <c r="V6" s="1">
        <v>49</v>
      </c>
      <c r="W6" s="31">
        <v>26</v>
      </c>
      <c r="X6" s="2">
        <v>30</v>
      </c>
      <c r="Y6" s="1">
        <v>68</v>
      </c>
      <c r="Z6" s="1">
        <v>28</v>
      </c>
      <c r="AA6" s="29">
        <v>41</v>
      </c>
      <c r="AB6" s="29">
        <v>61</v>
      </c>
      <c r="AC6" s="29">
        <v>43</v>
      </c>
      <c r="AD6" s="29">
        <v>78</v>
      </c>
      <c r="AE6" s="29">
        <v>29</v>
      </c>
      <c r="AF6" s="2">
        <v>53</v>
      </c>
      <c r="AG6" s="30">
        <v>57</v>
      </c>
      <c r="AH6" s="29">
        <v>53</v>
      </c>
      <c r="AI6" s="29">
        <v>90</v>
      </c>
      <c r="AJ6" s="29">
        <v>53</v>
      </c>
      <c r="AK6" s="29">
        <v>67</v>
      </c>
      <c r="AL6" s="29">
        <v>79</v>
      </c>
      <c r="AM6" s="29">
        <v>62</v>
      </c>
      <c r="AN6" s="29">
        <v>93</v>
      </c>
      <c r="AO6" s="29">
        <v>52</v>
      </c>
      <c r="AP6" s="29">
        <v>80</v>
      </c>
      <c r="AQ6" s="30">
        <v>63</v>
      </c>
      <c r="AR6" s="29">
        <v>68</v>
      </c>
      <c r="AS6" s="29">
        <v>94</v>
      </c>
      <c r="AT6" s="2">
        <v>49</v>
      </c>
      <c r="AU6" s="29">
        <v>72</v>
      </c>
      <c r="AV6" s="29">
        <v>80</v>
      </c>
      <c r="AW6" s="29">
        <v>71</v>
      </c>
      <c r="AX6" s="29">
        <v>97</v>
      </c>
      <c r="AY6" s="29">
        <v>66</v>
      </c>
      <c r="AZ6" s="29">
        <v>83</v>
      </c>
    </row>
    <row r="7" spans="1:52" x14ac:dyDescent="0.25">
      <c r="A7" s="23" t="s">
        <v>23</v>
      </c>
      <c r="B7" s="32">
        <f>AVERAGE(C7,M7,W7,AG7,AQ7)</f>
        <v>45.2</v>
      </c>
      <c r="C7" s="30">
        <v>49</v>
      </c>
      <c r="D7" s="29">
        <v>46</v>
      </c>
      <c r="E7" s="29">
        <v>80</v>
      </c>
      <c r="F7" s="1">
        <v>25</v>
      </c>
      <c r="G7" s="29">
        <v>62</v>
      </c>
      <c r="H7" s="29">
        <v>71</v>
      </c>
      <c r="I7" s="29">
        <v>41</v>
      </c>
      <c r="J7" s="29">
        <v>82</v>
      </c>
      <c r="K7" s="29">
        <v>46</v>
      </c>
      <c r="L7" s="29">
        <v>75</v>
      </c>
      <c r="M7" s="33">
        <v>32</v>
      </c>
      <c r="N7" s="1">
        <v>24</v>
      </c>
      <c r="O7" s="1">
        <v>52</v>
      </c>
      <c r="P7" s="1">
        <v>38</v>
      </c>
      <c r="Q7" s="2">
        <v>28</v>
      </c>
      <c r="R7" s="2">
        <v>37</v>
      </c>
      <c r="S7" s="1">
        <v>16</v>
      </c>
      <c r="T7" s="1">
        <v>61</v>
      </c>
      <c r="U7" s="2">
        <v>20</v>
      </c>
      <c r="V7" s="1">
        <v>45</v>
      </c>
      <c r="W7" s="31">
        <v>23</v>
      </c>
      <c r="X7" s="1">
        <v>26</v>
      </c>
      <c r="Y7" s="1">
        <v>61</v>
      </c>
      <c r="Z7" s="1">
        <v>27</v>
      </c>
      <c r="AA7" s="29">
        <v>38</v>
      </c>
      <c r="AB7" s="29">
        <v>57</v>
      </c>
      <c r="AC7" s="29">
        <v>43</v>
      </c>
      <c r="AD7" s="29">
        <v>72</v>
      </c>
      <c r="AE7" s="29">
        <v>31</v>
      </c>
      <c r="AF7" s="1">
        <v>48</v>
      </c>
      <c r="AG7" s="30">
        <v>55</v>
      </c>
      <c r="AH7" s="29">
        <v>53</v>
      </c>
      <c r="AI7" s="29">
        <v>84</v>
      </c>
      <c r="AJ7" s="29">
        <v>66</v>
      </c>
      <c r="AK7" s="29">
        <v>62</v>
      </c>
      <c r="AL7" s="29">
        <v>75</v>
      </c>
      <c r="AM7" s="29">
        <v>59</v>
      </c>
      <c r="AN7" s="29">
        <v>92</v>
      </c>
      <c r="AO7" s="29">
        <v>53</v>
      </c>
      <c r="AP7" s="29">
        <v>80</v>
      </c>
      <c r="AQ7" s="30">
        <v>67</v>
      </c>
      <c r="AR7" s="29">
        <v>71</v>
      </c>
      <c r="AS7" s="29">
        <v>98</v>
      </c>
      <c r="AT7" s="2">
        <v>60</v>
      </c>
      <c r="AU7" s="29">
        <v>80</v>
      </c>
      <c r="AV7" s="29">
        <v>89</v>
      </c>
      <c r="AW7" s="29">
        <v>76</v>
      </c>
      <c r="AX7" s="29">
        <v>97</v>
      </c>
      <c r="AY7" s="29">
        <v>73</v>
      </c>
      <c r="AZ7" s="29">
        <v>88</v>
      </c>
    </row>
    <row r="8" spans="1:52" x14ac:dyDescent="0.25"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AG8" s="24"/>
      <c r="AH8" s="24"/>
      <c r="AI8" s="24"/>
    </row>
    <row r="10" spans="1:52" ht="47.25" customHeight="1" x14ac:dyDescent="0.25">
      <c r="A10" s="34" t="s">
        <v>15</v>
      </c>
      <c r="B10" s="34"/>
    </row>
    <row r="11" spans="1:52" x14ac:dyDescent="0.25">
      <c r="A11" s="26" t="s">
        <v>16</v>
      </c>
      <c r="B11" s="27"/>
    </row>
    <row r="12" spans="1:52" x14ac:dyDescent="0.25">
      <c r="A12" s="3" t="s">
        <v>17</v>
      </c>
      <c r="B12" s="27"/>
    </row>
    <row r="13" spans="1:52" x14ac:dyDescent="0.25">
      <c r="A13" s="28" t="s">
        <v>18</v>
      </c>
      <c r="B13" s="27"/>
    </row>
  </sheetData>
  <autoFilter ref="A2:AZ2" xr:uid="{83FA308F-7C66-48DF-BF79-B95CB1241B47}">
    <sortState xmlns:xlrd2="http://schemas.microsoft.com/office/spreadsheetml/2017/richdata2" ref="A3:AZ7">
      <sortCondition descending="1" ref="B2"/>
    </sortState>
  </autoFilter>
  <mergeCells count="1">
    <mergeCell ref="A10:B10"/>
  </mergeCells>
  <conditionalFormatting sqref="B3:B7">
    <cfRule type="colorScale" priority="6">
      <colorScale>
        <cfvo type="min"/>
        <cfvo type="max"/>
        <color rgb="FFFCFCFF"/>
        <color rgb="FF63BE7B"/>
      </colorScale>
    </cfRule>
  </conditionalFormatting>
  <conditionalFormatting sqref="C3:C7">
    <cfRule type="colorScale" priority="5">
      <colorScale>
        <cfvo type="min"/>
        <cfvo type="max"/>
        <color rgb="FFFCFCFF"/>
        <color rgb="FF63BE7B"/>
      </colorScale>
    </cfRule>
  </conditionalFormatting>
  <conditionalFormatting sqref="M3:M7">
    <cfRule type="colorScale" priority="4">
      <colorScale>
        <cfvo type="min"/>
        <cfvo type="max"/>
        <color rgb="FFFCFCFF"/>
        <color rgb="FF63BE7B"/>
      </colorScale>
    </cfRule>
  </conditionalFormatting>
  <conditionalFormatting sqref="W3:W7">
    <cfRule type="colorScale" priority="3">
      <colorScale>
        <cfvo type="min"/>
        <cfvo type="max"/>
        <color rgb="FFFCFCFF"/>
        <color rgb="FF63BE7B"/>
      </colorScale>
    </cfRule>
  </conditionalFormatting>
  <conditionalFormatting sqref="AG3:AG7">
    <cfRule type="colorScale" priority="2">
      <colorScale>
        <cfvo type="min"/>
        <cfvo type="max"/>
        <color rgb="FFFCFCFF"/>
        <color rgb="FF63BE7B"/>
      </colorScale>
    </cfRule>
  </conditionalFormatting>
  <conditionalFormatting sqref="AQ3:AQ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Buyers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Rajsnerová</dc:creator>
  <cp:lastModifiedBy>Peter Javornický</cp:lastModifiedBy>
  <dcterms:created xsi:type="dcterms:W3CDTF">2025-07-14T12:18:06Z</dcterms:created>
  <dcterms:modified xsi:type="dcterms:W3CDTF">2025-12-16T08:48:49Z</dcterms:modified>
</cp:coreProperties>
</file>